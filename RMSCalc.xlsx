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Shared drives/MBARC_All/Code/WindCode/"/>
    </mc:Choice>
  </mc:AlternateContent>
  <xr:revisionPtr revIDLastSave="0" documentId="13_ncr:1_{8F850BEF-2CBC-4147-B2BF-7E0A393D3F88}" xr6:coauthVersionLast="45" xr6:coauthVersionMax="45" xr10:uidLastSave="{00000000-0000-0000-0000-000000000000}"/>
  <bookViews>
    <workbookView xWindow="-7760" yWindow="2160" windowWidth="28040" windowHeight="17440" xr2:uid="{623400C9-9536-9B45-B194-1ADF2A8F6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F4" i="1"/>
  <c r="G4" i="1"/>
  <c r="D3" i="1" l="1"/>
  <c r="E3" i="1"/>
  <c r="F3" i="1"/>
  <c r="G3" i="1"/>
  <c r="H3" i="1"/>
  <c r="I3" i="1"/>
  <c r="J3" i="1"/>
  <c r="C3" i="1"/>
  <c r="N4" i="1" l="1"/>
  <c r="K4" i="1"/>
  <c r="L4" i="1" s="1"/>
</calcChain>
</file>

<file path=xl/sharedStrings.xml><?xml version="1.0" encoding="utf-8"?>
<sst xmlns="http://schemas.openxmlformats.org/spreadsheetml/2006/main" count="27" uniqueCount="18">
  <si>
    <r>
      <t>Th</t>
    </r>
    <r>
      <rPr>
        <b/>
        <sz val="12"/>
        <color rgb="FF000000"/>
        <rFont val="Garamond"/>
        <family val="1"/>
      </rPr>
      <t xml:space="preserve">is Model </t>
    </r>
  </si>
  <si>
    <t>100 m</t>
  </si>
  <si>
    <t>shallow</t>
  </si>
  <si>
    <t>Wenz 1962</t>
  </si>
  <si>
    <t>Piggott 1964</t>
  </si>
  <si>
    <t xml:space="preserve">Wille Geyer 1984 </t>
  </si>
  <si>
    <t>Ma et al. 2005</t>
  </si>
  <si>
    <t xml:space="preserve">Nystuen 2010 </t>
  </si>
  <si>
    <t xml:space="preserve">This Model </t>
  </si>
  <si>
    <t>1000 m</t>
  </si>
  <si>
    <t>Ross BTL 1954</t>
  </si>
  <si>
    <t>deep</t>
  </si>
  <si>
    <t>Perrone 1969</t>
  </si>
  <si>
    <t>average</t>
  </si>
  <si>
    <t>Urick 1984</t>
  </si>
  <si>
    <t>various</t>
  </si>
  <si>
    <t>Cato 1976</t>
  </si>
  <si>
    <t>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</si>
</sst>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Garamond"/>
      <family val="1"/>
    </font>
    <font>
      <b/>
      <sz val="12"/>
      <color rgb="FF000000"/>
      <name val="Garamond"/>
      <family val="1"/>
    </font>
    <font>
      <sz val="12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AEAAAA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FAB7-6FC2-9046-AA5E-DD3D27979321}">
  <dimension ref="A1:N16"/>
  <sheetViews>
    <sheetView tabSelected="1" workbookViewId="0">
      <selection activeCell="J4" sqref="J4"/>
    </sheetView>
  </sheetViews>
  <sheetFormatPr baseColWidth="10" defaultRowHeight="16" x14ac:dyDescent="0.2"/>
  <sheetData>
    <row r="1" spans="1:14" ht="35" thickBot="1" x14ac:dyDescent="0.25">
      <c r="A1" s="1" t="s">
        <v>0</v>
      </c>
      <c r="B1" s="2" t="s">
        <v>1</v>
      </c>
      <c r="C1" s="1">
        <v>50.5</v>
      </c>
      <c r="D1" s="2">
        <v>53.4</v>
      </c>
      <c r="E1" s="2">
        <v>56.5</v>
      </c>
      <c r="F1" s="2">
        <v>60.7</v>
      </c>
      <c r="G1" s="2">
        <v>64.400000000000006</v>
      </c>
      <c r="H1" s="2">
        <v>67.400000000000006</v>
      </c>
      <c r="I1" s="2">
        <v>69.900000000000006</v>
      </c>
      <c r="J1" s="2">
        <v>72.099999999999994</v>
      </c>
      <c r="K1" t="s">
        <v>17</v>
      </c>
    </row>
    <row r="2" spans="1:14" ht="35" thickBot="1" x14ac:dyDescent="0.25">
      <c r="A2" s="7" t="s">
        <v>5</v>
      </c>
      <c r="B2" s="8" t="s">
        <v>2</v>
      </c>
      <c r="C2" s="7"/>
      <c r="D2" s="8"/>
      <c r="E2" s="8">
        <v>55.5</v>
      </c>
      <c r="F2" s="8">
        <v>60</v>
      </c>
      <c r="G2" s="8">
        <v>64</v>
      </c>
      <c r="H2" s="8"/>
      <c r="I2" s="8"/>
      <c r="J2" s="8"/>
    </row>
    <row r="3" spans="1:14" ht="17" thickBot="1" x14ac:dyDescent="0.25">
      <c r="A3" s="3"/>
      <c r="B3" s="4"/>
      <c r="C3" s="4">
        <f>C2-C1</f>
        <v>-50.5</v>
      </c>
      <c r="D3" s="4">
        <f t="shared" ref="D3:J3" si="0">D2-D1</f>
        <v>-53.4</v>
      </c>
      <c r="E3" s="4">
        <f t="shared" si="0"/>
        <v>-1</v>
      </c>
      <c r="F3" s="4">
        <f t="shared" si="0"/>
        <v>-0.70000000000000284</v>
      </c>
      <c r="G3" s="4">
        <f t="shared" si="0"/>
        <v>-0.40000000000000568</v>
      </c>
      <c r="H3" s="4">
        <f t="shared" si="0"/>
        <v>-67.400000000000006</v>
      </c>
      <c r="I3" s="4">
        <f t="shared" si="0"/>
        <v>-69.900000000000006</v>
      </c>
      <c r="J3" s="4">
        <f t="shared" si="0"/>
        <v>-72.099999999999994</v>
      </c>
    </row>
    <row r="4" spans="1:14" ht="17" thickBot="1" x14ac:dyDescent="0.25">
      <c r="A4" s="3"/>
      <c r="B4" s="4"/>
      <c r="C4" s="4"/>
      <c r="D4" s="4"/>
      <c r="E4" s="4">
        <f t="shared" ref="C4:J4" si="1">(E3)^2</f>
        <v>1</v>
      </c>
      <c r="F4" s="4">
        <f t="shared" si="1"/>
        <v>0.49000000000000399</v>
      </c>
      <c r="G4" s="4">
        <f t="shared" si="1"/>
        <v>0.16000000000000456</v>
      </c>
      <c r="H4" s="4"/>
      <c r="I4" s="4"/>
      <c r="J4" s="4"/>
      <c r="K4">
        <f>SUM(C4:J4)/COUNT(C4:J4)</f>
        <v>0.55000000000000282</v>
      </c>
      <c r="L4">
        <f>SQRT(K4)</f>
        <v>0.74161984870956821</v>
      </c>
      <c r="N4">
        <f>COUNT(C4:J4)</f>
        <v>3</v>
      </c>
    </row>
    <row r="5" spans="1:14" ht="17" thickBot="1" x14ac:dyDescent="0.25">
      <c r="A5" s="3"/>
      <c r="B5" s="4"/>
      <c r="C5" s="4"/>
      <c r="D5" s="4"/>
      <c r="E5" s="4"/>
      <c r="F5" s="4"/>
      <c r="G5" s="4"/>
      <c r="H5" s="4"/>
      <c r="I5" s="4"/>
      <c r="J5" s="4"/>
    </row>
    <row r="6" spans="1:14" ht="35" thickBot="1" x14ac:dyDescent="0.25">
      <c r="A6" s="3" t="s">
        <v>4</v>
      </c>
      <c r="B6" s="4" t="s">
        <v>2</v>
      </c>
      <c r="C6" s="4">
        <v>50</v>
      </c>
      <c r="D6" s="4">
        <v>60</v>
      </c>
      <c r="E6" s="4">
        <v>65</v>
      </c>
      <c r="F6" s="4"/>
      <c r="G6" s="4">
        <v>73</v>
      </c>
      <c r="H6" s="4"/>
      <c r="I6" s="4"/>
      <c r="J6" s="4">
        <v>80</v>
      </c>
    </row>
    <row r="7" spans="1:14" ht="35" thickBot="1" x14ac:dyDescent="0.25">
      <c r="A7" s="3" t="s">
        <v>5</v>
      </c>
      <c r="B7" s="4" t="s">
        <v>2</v>
      </c>
      <c r="C7" s="4"/>
      <c r="D7" s="4"/>
      <c r="E7" s="4">
        <v>62.5</v>
      </c>
      <c r="F7" s="4">
        <v>67</v>
      </c>
      <c r="G7" s="4">
        <v>69</v>
      </c>
      <c r="H7" s="4">
        <v>71.5</v>
      </c>
      <c r="I7" s="4">
        <v>73</v>
      </c>
      <c r="J7" s="4">
        <v>75</v>
      </c>
    </row>
    <row r="8" spans="1:14" ht="35" thickBot="1" x14ac:dyDescent="0.25">
      <c r="A8" s="3" t="s">
        <v>6</v>
      </c>
      <c r="B8" s="4" t="s">
        <v>2</v>
      </c>
      <c r="C8" s="4"/>
      <c r="D8" s="4"/>
      <c r="E8" s="4"/>
      <c r="F8" s="4">
        <v>61</v>
      </c>
      <c r="G8" s="4"/>
      <c r="H8" s="4"/>
      <c r="I8" s="4"/>
      <c r="J8" s="4"/>
    </row>
    <row r="9" spans="1:14" ht="35" thickBot="1" x14ac:dyDescent="0.25">
      <c r="A9" s="3" t="s">
        <v>7</v>
      </c>
      <c r="B9" s="4" t="s">
        <v>2</v>
      </c>
      <c r="C9" s="4"/>
      <c r="D9" s="4">
        <v>49</v>
      </c>
      <c r="E9" s="4">
        <v>59</v>
      </c>
      <c r="F9" s="4">
        <v>63</v>
      </c>
      <c r="G9" s="4">
        <v>66</v>
      </c>
      <c r="H9" s="4">
        <v>68</v>
      </c>
      <c r="I9" s="4">
        <v>70.5</v>
      </c>
      <c r="J9" s="4"/>
    </row>
    <row r="10" spans="1:14" ht="35" thickBot="1" x14ac:dyDescent="0.25">
      <c r="A10" s="5" t="s">
        <v>8</v>
      </c>
      <c r="B10" s="6" t="s">
        <v>9</v>
      </c>
      <c r="C10" s="6">
        <v>50.5</v>
      </c>
      <c r="D10" s="6">
        <v>53.4</v>
      </c>
      <c r="E10" s="6">
        <v>56.5</v>
      </c>
      <c r="F10" s="6">
        <v>60.7</v>
      </c>
      <c r="G10" s="6">
        <v>64.400000000000006</v>
      </c>
      <c r="H10" s="6">
        <v>67.400000000000006</v>
      </c>
      <c r="I10" s="6">
        <v>69.900000000000006</v>
      </c>
      <c r="J10" s="6">
        <v>72.099999999999994</v>
      </c>
    </row>
    <row r="11" spans="1:14" ht="35" thickBot="1" x14ac:dyDescent="0.25">
      <c r="A11" s="3" t="s">
        <v>10</v>
      </c>
      <c r="B11" s="4" t="s">
        <v>11</v>
      </c>
      <c r="C11" s="4"/>
      <c r="D11" s="4">
        <v>54</v>
      </c>
      <c r="E11" s="4">
        <v>58</v>
      </c>
      <c r="F11" s="4">
        <v>61</v>
      </c>
      <c r="G11" s="4">
        <v>64</v>
      </c>
      <c r="H11" s="4"/>
      <c r="I11" s="4">
        <v>68</v>
      </c>
      <c r="J11" s="4"/>
    </row>
    <row r="12" spans="1:14" ht="18" thickBot="1" x14ac:dyDescent="0.25">
      <c r="A12" s="3" t="s">
        <v>3</v>
      </c>
      <c r="B12" s="4" t="s">
        <v>11</v>
      </c>
      <c r="C12" s="4">
        <v>42.5</v>
      </c>
      <c r="D12" s="4">
        <v>50.5</v>
      </c>
      <c r="E12" s="4">
        <v>55.5</v>
      </c>
      <c r="F12" s="4"/>
      <c r="G12" s="4">
        <v>62.5</v>
      </c>
      <c r="H12" s="4"/>
      <c r="I12" s="4"/>
      <c r="J12" s="4">
        <v>68.5</v>
      </c>
    </row>
    <row r="13" spans="1:14" ht="35" thickBot="1" x14ac:dyDescent="0.25">
      <c r="A13" s="3" t="s">
        <v>12</v>
      </c>
      <c r="B13" s="4" t="s">
        <v>11</v>
      </c>
      <c r="C13" s="4"/>
      <c r="D13" s="4">
        <v>50</v>
      </c>
      <c r="E13" s="4">
        <v>52</v>
      </c>
      <c r="F13" s="4"/>
      <c r="G13" s="4">
        <v>60</v>
      </c>
      <c r="H13" s="4"/>
      <c r="I13" s="4"/>
      <c r="J13" s="4">
        <v>65</v>
      </c>
    </row>
    <row r="14" spans="1:14" ht="18" thickBot="1" x14ac:dyDescent="0.25">
      <c r="A14" s="3" t="s">
        <v>3</v>
      </c>
      <c r="B14" s="4" t="s">
        <v>13</v>
      </c>
      <c r="C14" s="4">
        <v>45</v>
      </c>
      <c r="D14" s="4">
        <v>53</v>
      </c>
      <c r="E14" s="4">
        <v>58</v>
      </c>
      <c r="F14" s="4"/>
      <c r="G14" s="4">
        <v>65</v>
      </c>
      <c r="H14" s="4"/>
      <c r="I14" s="4"/>
      <c r="J14" s="4">
        <v>71</v>
      </c>
    </row>
    <row r="15" spans="1:14" ht="18" thickBot="1" x14ac:dyDescent="0.25">
      <c r="A15" s="3" t="s">
        <v>14</v>
      </c>
      <c r="B15" s="4" t="s">
        <v>15</v>
      </c>
      <c r="C15" s="4"/>
      <c r="D15" s="4">
        <v>53</v>
      </c>
      <c r="E15" s="4">
        <v>58.5</v>
      </c>
      <c r="F15" s="4"/>
      <c r="G15" s="4">
        <v>66</v>
      </c>
      <c r="H15" s="4"/>
      <c r="I15" s="4"/>
      <c r="J15" s="4">
        <v>71</v>
      </c>
    </row>
    <row r="16" spans="1:14" ht="18" thickBot="1" x14ac:dyDescent="0.25">
      <c r="A16" s="3" t="s">
        <v>16</v>
      </c>
      <c r="B16" s="4" t="s">
        <v>15</v>
      </c>
      <c r="C16" s="4">
        <v>54</v>
      </c>
      <c r="D16" s="4"/>
      <c r="E16" s="4"/>
      <c r="F16" s="4">
        <v>61</v>
      </c>
      <c r="G16" s="4">
        <v>65</v>
      </c>
      <c r="H16" s="4"/>
      <c r="I16" s="4"/>
      <c r="J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Hildebrand</dc:creator>
  <cp:lastModifiedBy>John Hildebrand</cp:lastModifiedBy>
  <dcterms:created xsi:type="dcterms:W3CDTF">2021-04-27T14:34:26Z</dcterms:created>
  <dcterms:modified xsi:type="dcterms:W3CDTF">2021-04-28T01:28:55Z</dcterms:modified>
</cp:coreProperties>
</file>