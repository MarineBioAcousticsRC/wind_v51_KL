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Shared drives\MBARC_All\Code\WindCode\"/>
    </mc:Choice>
  </mc:AlternateContent>
  <bookViews>
    <workbookView xWindow="0" yWindow="465" windowWidth="37620" windowHeight="13995"/>
  </bookViews>
  <sheets>
    <sheet name="HARPdataSummaryWIND_COLOR1" sheetId="1" r:id="rId1"/>
  </sheets>
  <calcPr calcId="152511"/>
</workbook>
</file>

<file path=xl/calcChain.xml><?xml version="1.0" encoding="utf-8"?>
<calcChain xmlns="http://schemas.openxmlformats.org/spreadsheetml/2006/main">
  <c r="J301" i="1" l="1"/>
  <c r="L27" i="1"/>
  <c r="L291" i="1" s="1"/>
  <c r="L292" i="1" l="1"/>
</calcChain>
</file>

<file path=xl/sharedStrings.xml><?xml version="1.0" encoding="utf-8"?>
<sst xmlns="http://schemas.openxmlformats.org/spreadsheetml/2006/main" count="1148" uniqueCount="861">
  <si>
    <t>Data_ID</t>
  </si>
  <si>
    <t>PreAmp</t>
  </si>
  <si>
    <t>Latitude</t>
  </si>
  <si>
    <t>Longitude</t>
  </si>
  <si>
    <t>Depth_m</t>
  </si>
  <si>
    <t>Data_Start_Date</t>
  </si>
  <si>
    <t>Data_Start_Time</t>
  </si>
  <si>
    <t>Data_End_Date</t>
  </si>
  <si>
    <t>Data_End_Time</t>
  </si>
  <si>
    <t>Rec_Dur</t>
  </si>
  <si>
    <t>52-38.000 N</t>
  </si>
  <si>
    <t>175-37.990 E</t>
  </si>
  <si>
    <t>52-04.560 N</t>
  </si>
  <si>
    <t>175-38.390 E</t>
  </si>
  <si>
    <t>60-53.214 S</t>
  </si>
  <si>
    <t>55-57.238 W</t>
  </si>
  <si>
    <t>Antarc_EIE_01</t>
  </si>
  <si>
    <t>61-15.112 S</t>
  </si>
  <si>
    <t>53-29.006 W</t>
  </si>
  <si>
    <t>Antarc_SSI_01</t>
  </si>
  <si>
    <t>61-27.469 S</t>
  </si>
  <si>
    <t>57-56.515 W</t>
  </si>
  <si>
    <t>29-08.462 N</t>
  </si>
  <si>
    <t>118-15.658 W</t>
  </si>
  <si>
    <t>31-55.575 N</t>
  </si>
  <si>
    <t>65-12.900 W</t>
  </si>
  <si>
    <t>31-55.415 N</t>
  </si>
  <si>
    <t>65-12.113 W</t>
  </si>
  <si>
    <t>33-28.970 N</t>
  </si>
  <si>
    <t>122-34.560 W</t>
  </si>
  <si>
    <t>34-16.584 N</t>
  </si>
  <si>
    <t>120-01.512 W</t>
  </si>
  <si>
    <t>34-16.621 N</t>
  </si>
  <si>
    <t>120-01.661 W</t>
  </si>
  <si>
    <t>34-16.617 N</t>
  </si>
  <si>
    <t>120-01.492 W</t>
  </si>
  <si>
    <t>34-19.110 N</t>
  </si>
  <si>
    <t>120-48.333 W</t>
  </si>
  <si>
    <t>34-16.528 N</t>
  </si>
  <si>
    <t>120-01.132 W</t>
  </si>
  <si>
    <t>34-18.902 N</t>
  </si>
  <si>
    <t>120-48.370 W</t>
  </si>
  <si>
    <t>34-16.732 N</t>
  </si>
  <si>
    <t>120-01.664 W</t>
  </si>
  <si>
    <t>34-19.108 N</t>
  </si>
  <si>
    <t>120-48.465 W</t>
  </si>
  <si>
    <t>34-16.704 N</t>
  </si>
  <si>
    <t>120-01.620 W</t>
  </si>
  <si>
    <t>34-19.097 N</t>
  </si>
  <si>
    <t>120-48.445 W</t>
  </si>
  <si>
    <t>34-16.968 N</t>
  </si>
  <si>
    <t>120-01.684 W</t>
  </si>
  <si>
    <t>34-19.000 N</t>
  </si>
  <si>
    <t>120-48.410 W</t>
  </si>
  <si>
    <t>34-18.997 N</t>
  </si>
  <si>
    <t>120-48.412 W</t>
  </si>
  <si>
    <t>34-16.991 N</t>
  </si>
  <si>
    <t>120-01.697 W</t>
  </si>
  <si>
    <t>34-19.007 N</t>
  </si>
  <si>
    <t>120-48.349 W</t>
  </si>
  <si>
    <t>34-16.970 N</t>
  </si>
  <si>
    <t>120-01.706 W</t>
  </si>
  <si>
    <t>34-17.126 N</t>
  </si>
  <si>
    <t>120-01.632 W</t>
  </si>
  <si>
    <t>34-19.500 N</t>
  </si>
  <si>
    <t>120-48.400 W</t>
  </si>
  <si>
    <t>34-17.131 N</t>
  </si>
  <si>
    <t>120-01.636 W</t>
  </si>
  <si>
    <t>34-19.020 N</t>
  </si>
  <si>
    <t>120-48.336 W</t>
  </si>
  <si>
    <t>34-18.973 N</t>
  </si>
  <si>
    <t>120-48.295 W</t>
  </si>
  <si>
    <t>34-19.474 N</t>
  </si>
  <si>
    <t>120-48.474 W</t>
  </si>
  <si>
    <t>34-17.168 N</t>
  </si>
  <si>
    <t>120-01.717 W</t>
  </si>
  <si>
    <t>34-19.562 N</t>
  </si>
  <si>
    <t>120-48.405 W</t>
  </si>
  <si>
    <t>34-17.105 N</t>
  </si>
  <si>
    <t>120-01.666 W</t>
  </si>
  <si>
    <t>34-16.532 N</t>
  </si>
  <si>
    <t>120-01.112 W</t>
  </si>
  <si>
    <t>34-17.095 N</t>
  </si>
  <si>
    <t>120-01.630 W</t>
  </si>
  <si>
    <t>34-19.455 N</t>
  </si>
  <si>
    <t>120-48.426 W</t>
  </si>
  <si>
    <t>35-24.000 N</t>
  </si>
  <si>
    <t>121-33.750 W</t>
  </si>
  <si>
    <t>00-26.607 N</t>
  </si>
  <si>
    <t>164-08.079 W</t>
  </si>
  <si>
    <t>32-50.800 N</t>
  </si>
  <si>
    <t>57-30.820 N</t>
  </si>
  <si>
    <t>146-30.050 W</t>
  </si>
  <si>
    <t>GofAK_CB_08</t>
  </si>
  <si>
    <t>GofAK_CB_09</t>
  </si>
  <si>
    <t>GofCA_CB_11</t>
  </si>
  <si>
    <t>29-01.652 N</t>
  </si>
  <si>
    <t>113-22.527 W</t>
  </si>
  <si>
    <t>29-03.210 N</t>
  </si>
  <si>
    <t>86-05.800 W</t>
  </si>
  <si>
    <t>86-05.899 W</t>
  </si>
  <si>
    <t>29-02.882 N</t>
  </si>
  <si>
    <t>86-05.839 W</t>
  </si>
  <si>
    <t>25-31.911 N</t>
  </si>
  <si>
    <t>84-38.251 W</t>
  </si>
  <si>
    <t>25-31.859 N</t>
  </si>
  <si>
    <t>84-38.262 W</t>
  </si>
  <si>
    <t>GofMX_DT_09</t>
  </si>
  <si>
    <t>25-32.316 N</t>
  </si>
  <si>
    <t>84-37.878 W</t>
  </si>
  <si>
    <t>GofMX_DT_10</t>
  </si>
  <si>
    <t>25-32.360 N</t>
  </si>
  <si>
    <t>84-37.743 W</t>
  </si>
  <si>
    <t>GofMX_DT_11</t>
  </si>
  <si>
    <t>25-32.355 N</t>
  </si>
  <si>
    <t>84-37.733 W</t>
  </si>
  <si>
    <t>91-10.073 W</t>
  </si>
  <si>
    <t>27-33.347 N</t>
  </si>
  <si>
    <t>91-10.092 W</t>
  </si>
  <si>
    <t>27-33.366 N</t>
  </si>
  <si>
    <t>25-01.702 N</t>
  </si>
  <si>
    <t>84-23.769 W</t>
  </si>
  <si>
    <t>25-01.149 N</t>
  </si>
  <si>
    <t>84-23.401 W</t>
  </si>
  <si>
    <t>28-50.746 N</t>
  </si>
  <si>
    <t>88-27.927 W</t>
  </si>
  <si>
    <t>28-50.771 N</t>
  </si>
  <si>
    <t>88-27.907 W</t>
  </si>
  <si>
    <t>28-50.775 N</t>
  </si>
  <si>
    <t>88-27.909 W</t>
  </si>
  <si>
    <t>28-50.797 N</t>
  </si>
  <si>
    <t>88-27.991 W</t>
  </si>
  <si>
    <t>28-50.853 N</t>
  </si>
  <si>
    <t>88-28.041 W</t>
  </si>
  <si>
    <t>28-58.850 N</t>
  </si>
  <si>
    <t>88-28.101 W</t>
  </si>
  <si>
    <t>28-58.732 N</t>
  </si>
  <si>
    <t>88-28.082 W</t>
  </si>
  <si>
    <t>29-15.204 N</t>
  </si>
  <si>
    <t>88-17.753 W</t>
  </si>
  <si>
    <t>29-15.318 N</t>
  </si>
  <si>
    <t>88-17.808 W</t>
  </si>
  <si>
    <t>29-15.354 N</t>
  </si>
  <si>
    <t>88-17.702 W</t>
  </si>
  <si>
    <t>29-15.368 N</t>
  </si>
  <si>
    <t>88-17.597 W</t>
  </si>
  <si>
    <t>29-15.379 N</t>
  </si>
  <si>
    <t>88-17.514 W</t>
  </si>
  <si>
    <t>29-15.177 N</t>
  </si>
  <si>
    <t>88-17.590 W</t>
  </si>
  <si>
    <t>GofMX_DC_10</t>
  </si>
  <si>
    <t>29-02.865 N</t>
  </si>
  <si>
    <t>86-05.875 W</t>
  </si>
  <si>
    <t>GofMX_DC_11</t>
  </si>
  <si>
    <t>GofMX_GC_09</t>
  </si>
  <si>
    <t>27-33.364 N</t>
  </si>
  <si>
    <t>91-10.096 W</t>
  </si>
  <si>
    <t>GofMX_GC_10</t>
  </si>
  <si>
    <t>27-33.367 N</t>
  </si>
  <si>
    <t>91-10.083 W</t>
  </si>
  <si>
    <t>GofMX_GC_11</t>
  </si>
  <si>
    <t>27-33.413 N</t>
  </si>
  <si>
    <t>91-10.339 W</t>
  </si>
  <si>
    <t>28-50.832 N</t>
  </si>
  <si>
    <t>88-27.973 W</t>
  </si>
  <si>
    <t>GofMX_MP_09</t>
  </si>
  <si>
    <t>29-15.115 N</t>
  </si>
  <si>
    <t>88-17.506 W</t>
  </si>
  <si>
    <t>GofMX_MP_11</t>
  </si>
  <si>
    <t>29-15.145 N</t>
  </si>
  <si>
    <t>88-17.356 W</t>
  </si>
  <si>
    <t>35-20.432 N</t>
  </si>
  <si>
    <t>74-51.457 W</t>
  </si>
  <si>
    <t>35-20.667 N</t>
  </si>
  <si>
    <t>74-51.126 W</t>
  </si>
  <si>
    <t>35-20.531 N</t>
  </si>
  <si>
    <t>74-51.436 W</t>
  </si>
  <si>
    <t>35-18.110 N</t>
  </si>
  <si>
    <t>74-52.737 W</t>
  </si>
  <si>
    <t>35-35.386 N</t>
  </si>
  <si>
    <t>74-44.856 W</t>
  </si>
  <si>
    <t>35-35.358 N</t>
  </si>
  <si>
    <t>74-45.270 W</t>
  </si>
  <si>
    <t>30-15.492 N</t>
  </si>
  <si>
    <t>80-25.692 W</t>
  </si>
  <si>
    <t>30-16.831 N</t>
  </si>
  <si>
    <t>80-12.962 W</t>
  </si>
  <si>
    <t>80-12.551 W</t>
  </si>
  <si>
    <t>30-19.586 N</t>
  </si>
  <si>
    <t>80-12.296 W</t>
  </si>
  <si>
    <t>30-09.036 N</t>
  </si>
  <si>
    <t>79-46.203 W</t>
  </si>
  <si>
    <t>30-09.110 N</t>
  </si>
  <si>
    <t>79-46.213 W</t>
  </si>
  <si>
    <t>30-09.135 N</t>
  </si>
  <si>
    <t>79-46.236 W</t>
  </si>
  <si>
    <t>21-57.164 N</t>
  </si>
  <si>
    <t>159-53.238 W</t>
  </si>
  <si>
    <t>21-57.224 N</t>
  </si>
  <si>
    <t>159-53.383 W</t>
  </si>
  <si>
    <t>21-56.952 N</t>
  </si>
  <si>
    <t>159-53.273 W</t>
  </si>
  <si>
    <t>06-21.908 N</t>
  </si>
  <si>
    <t>162-17.539 W</t>
  </si>
  <si>
    <t>37-09.991 N</t>
  </si>
  <si>
    <t>74-27.996 W</t>
  </si>
  <si>
    <t>37-10.044 N</t>
  </si>
  <si>
    <t>74-27.980 W</t>
  </si>
  <si>
    <t>37-09.871 N</t>
  </si>
  <si>
    <t>74-27.951 W</t>
  </si>
  <si>
    <t>47-21.117 N</t>
  </si>
  <si>
    <t>124-43.256 W</t>
  </si>
  <si>
    <t>47-21.141 N</t>
  </si>
  <si>
    <t>124-43.275 W</t>
  </si>
  <si>
    <t>OCNMS_QC_12</t>
  </si>
  <si>
    <t>47-30.003 N</t>
  </si>
  <si>
    <t>125-21.203 W</t>
  </si>
  <si>
    <t>OCNMS_QC_14</t>
  </si>
  <si>
    <t>47-30.026 N</t>
  </si>
  <si>
    <t>125-21.212 W</t>
  </si>
  <si>
    <t>OCNMS_QC_15</t>
  </si>
  <si>
    <t>47-30.032 N</t>
  </si>
  <si>
    <t>125-21.215 W</t>
  </si>
  <si>
    <t>17-57.785 N</t>
  </si>
  <si>
    <t>145-28.867 E</t>
  </si>
  <si>
    <t>27-43.517 N</t>
  </si>
  <si>
    <t>175-38.287 W</t>
  </si>
  <si>
    <t>27-43.620 N</t>
  </si>
  <si>
    <t>175-37.946 W</t>
  </si>
  <si>
    <t>27-43.519 N</t>
  </si>
  <si>
    <t>175-38.257 W</t>
  </si>
  <si>
    <t>27-43.521 N</t>
  </si>
  <si>
    <t>175-38.250 W</t>
  </si>
  <si>
    <t>27-44.462 N</t>
  </si>
  <si>
    <t>175-33.588 W</t>
  </si>
  <si>
    <t>27-44.459 N</t>
  </si>
  <si>
    <t>175-33.627 W</t>
  </si>
  <si>
    <t>15-18.998 N</t>
  </si>
  <si>
    <t>145-27.542 E</t>
  </si>
  <si>
    <t>15-19.026 N</t>
  </si>
  <si>
    <t>145-27.463 E</t>
  </si>
  <si>
    <t>15-19.275 N</t>
  </si>
  <si>
    <t>145-27.260 E</t>
  </si>
  <si>
    <t>15-19.046 N</t>
  </si>
  <si>
    <t>145-27.433 E</t>
  </si>
  <si>
    <t>15-19.021 N</t>
  </si>
  <si>
    <t>145-27.443 E</t>
  </si>
  <si>
    <t>32-55.605 N</t>
  </si>
  <si>
    <t>118-37.254 W</t>
  </si>
  <si>
    <t>32-50.813 N</t>
  </si>
  <si>
    <t>119-10.600 W</t>
  </si>
  <si>
    <t>33-15.039 N</t>
  </si>
  <si>
    <t>118-14.963 W</t>
  </si>
  <si>
    <t>32-39.412 N</t>
  </si>
  <si>
    <t>119-28.412 W</t>
  </si>
  <si>
    <t>32-55.602 N</t>
  </si>
  <si>
    <t>118-37.248 W</t>
  </si>
  <si>
    <t>33-15.107 N</t>
  </si>
  <si>
    <t>118-14.897 W</t>
  </si>
  <si>
    <t>32-55.619 N</t>
  </si>
  <si>
    <t>118-38.135 W</t>
  </si>
  <si>
    <t>32-55.639 N</t>
  </si>
  <si>
    <t>118-37.105 W</t>
  </si>
  <si>
    <t>32-50.823 N</t>
  </si>
  <si>
    <t>119-10.606 W</t>
  </si>
  <si>
    <t>32-39.448 N</t>
  </si>
  <si>
    <t>119-28.288 W</t>
  </si>
  <si>
    <t>32-50.841 N</t>
  </si>
  <si>
    <t>119-10.489 W</t>
  </si>
  <si>
    <t>32-39.440 N</t>
  </si>
  <si>
    <t>119-28.252 W</t>
  </si>
  <si>
    <t>119-10.624 W</t>
  </si>
  <si>
    <t>32-50.754 N</t>
  </si>
  <si>
    <t>119-10.387 W</t>
  </si>
  <si>
    <t>32-39.427 N</t>
  </si>
  <si>
    <t>119-28.430 W</t>
  </si>
  <si>
    <t>33-08.407 N</t>
  </si>
  <si>
    <t>118-52.815 W</t>
  </si>
  <si>
    <t>32-50.587 N</t>
  </si>
  <si>
    <t>119-10.170 W</t>
  </si>
  <si>
    <t>33-30.582 N</t>
  </si>
  <si>
    <t>119-15.282 W</t>
  </si>
  <si>
    <t>32-22.204 N</t>
  </si>
  <si>
    <t>118-33.908 W</t>
  </si>
  <si>
    <t>33-13.679 N</t>
  </si>
  <si>
    <t>118-16.554 W</t>
  </si>
  <si>
    <t>120-01.129 W</t>
  </si>
  <si>
    <t>32-39.409 N</t>
  </si>
  <si>
    <t>119-28.419 W</t>
  </si>
  <si>
    <t>33-08.408 N</t>
  </si>
  <si>
    <t>118-52.811 W</t>
  </si>
  <si>
    <t>33-30.579 N</t>
  </si>
  <si>
    <t>119-15.280 W</t>
  </si>
  <si>
    <t>32-22.205 N</t>
  </si>
  <si>
    <t>118-33.905 W</t>
  </si>
  <si>
    <t>32-39.379 N</t>
  </si>
  <si>
    <t>119-28.389 W</t>
  </si>
  <si>
    <t>33-08.411 N</t>
  </si>
  <si>
    <t>118-52.832 W</t>
  </si>
  <si>
    <t>33-30.580 N</t>
  </si>
  <si>
    <t>119-15.253 W</t>
  </si>
  <si>
    <t>32-22.197 N</t>
  </si>
  <si>
    <t>118-33.893 W</t>
  </si>
  <si>
    <t>120-22.544 W</t>
  </si>
  <si>
    <t>33-08.559 N</t>
  </si>
  <si>
    <t>118-53.588 W</t>
  </si>
  <si>
    <t>32-50.569 N</t>
  </si>
  <si>
    <t>119-10.294 W</t>
  </si>
  <si>
    <t>33-30.927 N</t>
  </si>
  <si>
    <t>119-14.794 W</t>
  </si>
  <si>
    <t>32-22.186 N</t>
  </si>
  <si>
    <t>118-33.885 W</t>
  </si>
  <si>
    <t>33-08.566 N</t>
  </si>
  <si>
    <t>118-53.597 W</t>
  </si>
  <si>
    <t>32-50.564 N</t>
  </si>
  <si>
    <t>119-10.279 W</t>
  </si>
  <si>
    <t>33-30.923 N</t>
  </si>
  <si>
    <t>119-14.779 W</t>
  </si>
  <si>
    <t>32-22.191 N</t>
  </si>
  <si>
    <t>118-33.887 W</t>
  </si>
  <si>
    <t>32-53.598 N</t>
  </si>
  <si>
    <t>117-22.714 W</t>
  </si>
  <si>
    <t>33-49.222 N</t>
  </si>
  <si>
    <t>118-37.775 W</t>
  </si>
  <si>
    <t>118-33.769 W</t>
  </si>
  <si>
    <t>33-49.204 N</t>
  </si>
  <si>
    <t>118-37.762 W</t>
  </si>
  <si>
    <t>33-09.628 N</t>
  </si>
  <si>
    <t>120-00.615 W</t>
  </si>
  <si>
    <t>32-50.554 N</t>
  </si>
  <si>
    <t>119-10.272 W</t>
  </si>
  <si>
    <t>33-30.915 N</t>
  </si>
  <si>
    <t>119-14.960 W</t>
  </si>
  <si>
    <t>32-22.184 N</t>
  </si>
  <si>
    <t>118-33.768 W</t>
  </si>
  <si>
    <t>33-09.621 N</t>
  </si>
  <si>
    <t>120-00.606 W</t>
  </si>
  <si>
    <t>32-29.092 N</t>
  </si>
  <si>
    <t>118-16.370 W</t>
  </si>
  <si>
    <t>33-30.897 N</t>
  </si>
  <si>
    <t>119-14.896 W</t>
  </si>
  <si>
    <t>32-22.180 N</t>
  </si>
  <si>
    <t>118-33.800 W</t>
  </si>
  <si>
    <t>33-49.209 N</t>
  </si>
  <si>
    <t>118-37.681 W</t>
  </si>
  <si>
    <t>33-09.601 N</t>
  </si>
  <si>
    <t>120-00.522 W</t>
  </si>
  <si>
    <t>118-16.309 W</t>
  </si>
  <si>
    <t>32-50.552 N</t>
  </si>
  <si>
    <t>119-10.254 W</t>
  </si>
  <si>
    <t>33-30.891 N</t>
  </si>
  <si>
    <t>119-14.832 W</t>
  </si>
  <si>
    <t>32-22.182 N</t>
  </si>
  <si>
    <t>118-33.803 W</t>
  </si>
  <si>
    <t>33-09.599 N</t>
  </si>
  <si>
    <t>120-00.499 W</t>
  </si>
  <si>
    <t>32-29.096 N</t>
  </si>
  <si>
    <t>118-16.293 W</t>
  </si>
  <si>
    <t>32-50.553 N</t>
  </si>
  <si>
    <t>119-10.247 W</t>
  </si>
  <si>
    <t>119-14.888 W</t>
  </si>
  <si>
    <t>32-22.183 N</t>
  </si>
  <si>
    <t>118-33.802 W</t>
  </si>
  <si>
    <t>32-29.102 N</t>
  </si>
  <si>
    <t>118-16.323 W</t>
  </si>
  <si>
    <t>32-50.558 N</t>
  </si>
  <si>
    <t>119-10.287 W</t>
  </si>
  <si>
    <t>33-30.887 N</t>
  </si>
  <si>
    <t>119-14.875 W</t>
  </si>
  <si>
    <t>32-50.537 N</t>
  </si>
  <si>
    <t>119-10.217 W</t>
  </si>
  <si>
    <t>33-30.886 N</t>
  </si>
  <si>
    <t>119-14.886 W</t>
  </si>
  <si>
    <t>32-22.199 N</t>
  </si>
  <si>
    <t>118-33.894 W</t>
  </si>
  <si>
    <t>33-30.826 N</t>
  </si>
  <si>
    <t>119-14.880 W</t>
  </si>
  <si>
    <t>32-22.200 N</t>
  </si>
  <si>
    <t>118-33.903 W</t>
  </si>
  <si>
    <t>32-22.157 N</t>
  </si>
  <si>
    <t>118-33.938 W</t>
  </si>
  <si>
    <t>32-50.536 N</t>
  </si>
  <si>
    <t>33-30.599 N</t>
  </si>
  <si>
    <t>119-15.305 W</t>
  </si>
  <si>
    <t>33-30.607 N</t>
  </si>
  <si>
    <t>32-22.194 N</t>
  </si>
  <si>
    <t>118-33.892 W</t>
  </si>
  <si>
    <t>32-50.307 N</t>
  </si>
  <si>
    <t>119-10.006 W</t>
  </si>
  <si>
    <t>33-30.584 N</t>
  </si>
  <si>
    <t>119-15.252 W</t>
  </si>
  <si>
    <t>33-30.577 N</t>
  </si>
  <si>
    <t>119-15.251 W</t>
  </si>
  <si>
    <t>119-10.588 W</t>
  </si>
  <si>
    <t>33-30.595 N</t>
  </si>
  <si>
    <t>118-33.913 W</t>
  </si>
  <si>
    <t>32-22.185 N</t>
  </si>
  <si>
    <t>118-33.820 W</t>
  </si>
  <si>
    <t>32-54.917 N</t>
  </si>
  <si>
    <t>32-50.778 N</t>
  </si>
  <si>
    <t>119-10.584 W</t>
  </si>
  <si>
    <t>32-50.777 N</t>
  </si>
  <si>
    <t>119-10.569 W</t>
  </si>
  <si>
    <t>32-22.223 N</t>
  </si>
  <si>
    <t>118-33.841 W</t>
  </si>
  <si>
    <t>32-22.212 N</t>
  </si>
  <si>
    <t>118-33.871 W</t>
  </si>
  <si>
    <t>32-39.535 N</t>
  </si>
  <si>
    <t>119-28.710 W</t>
  </si>
  <si>
    <t>32-39.538 N</t>
  </si>
  <si>
    <t>119-28.812 W</t>
  </si>
  <si>
    <t>32-39.453 N</t>
  </si>
  <si>
    <t>119-28.564 W</t>
  </si>
  <si>
    <t>32-50.749 N</t>
  </si>
  <si>
    <t>119-10.620 W</t>
  </si>
  <si>
    <t>32-50.703 N</t>
  </si>
  <si>
    <t>119-10.583 W</t>
  </si>
  <si>
    <t>32-50.752 N</t>
  </si>
  <si>
    <t>119-10.523 W</t>
  </si>
  <si>
    <t>119-10.249 W</t>
  </si>
  <si>
    <t>32-50.509 N</t>
  </si>
  <si>
    <t>119-10.023 W</t>
  </si>
  <si>
    <t>118-33.884 W</t>
  </si>
  <si>
    <t>32-22.251 N</t>
  </si>
  <si>
    <t>118-33.863 W</t>
  </si>
  <si>
    <t>32-22.256 N</t>
  </si>
  <si>
    <t>32-22.248 N</t>
  </si>
  <si>
    <t>118-33.852 W</t>
  </si>
  <si>
    <t>32-22.230 N</t>
  </si>
  <si>
    <t>118-33.872 W</t>
  </si>
  <si>
    <t>32-22.137 N</t>
  </si>
  <si>
    <t>118-33.874 W</t>
  </si>
  <si>
    <t>32-54.945 N</t>
  </si>
  <si>
    <t>120-22.558 W</t>
  </si>
  <si>
    <t>120-22.519 W</t>
  </si>
  <si>
    <t>32-54.936 N</t>
  </si>
  <si>
    <t>32-54.771 N</t>
  </si>
  <si>
    <t>120-22.445 W</t>
  </si>
  <si>
    <t>32-53.212 N</t>
  </si>
  <si>
    <t>117-33.362 W</t>
  </si>
  <si>
    <t>32-53.199 N</t>
  </si>
  <si>
    <t>117-33.496 W</t>
  </si>
  <si>
    <t>31-51.098 N</t>
  </si>
  <si>
    <t>118-29.071 W</t>
  </si>
  <si>
    <t>15-02.344 N</t>
  </si>
  <si>
    <t>145-45.130 E</t>
  </si>
  <si>
    <t>15-02.388 N</t>
  </si>
  <si>
    <t>145-45.319 E</t>
  </si>
  <si>
    <t>15-02.241 N</t>
  </si>
  <si>
    <t>145-45.228 E</t>
  </si>
  <si>
    <t>33-47.483 N</t>
  </si>
  <si>
    <t>76-31.429 W</t>
  </si>
  <si>
    <t>33-40.670 N</t>
  </si>
  <si>
    <t>76-28.613 W</t>
  </si>
  <si>
    <t>33-34.839 N</t>
  </si>
  <si>
    <t>76-33.009 W</t>
  </si>
  <si>
    <t>19-13.200 N</t>
  </si>
  <si>
    <t>166-41.005 E</t>
  </si>
  <si>
    <t>166-41.563 E</t>
  </si>
  <si>
    <t>19-13.294 N</t>
  </si>
  <si>
    <t>19-13.408 N</t>
  </si>
  <si>
    <t>166-41.671 E</t>
  </si>
  <si>
    <t>19-22.324 N</t>
  </si>
  <si>
    <t>166-69.378 E</t>
  </si>
  <si>
    <t>WAT_BC_01</t>
  </si>
  <si>
    <t>39-11.463 N</t>
  </si>
  <si>
    <t>72-13.722 W</t>
  </si>
  <si>
    <t>WAT_BC_02</t>
  </si>
  <si>
    <t>39-11.430 N</t>
  </si>
  <si>
    <t>72-13.628 W</t>
  </si>
  <si>
    <t>WAT_BC_03</t>
  </si>
  <si>
    <t>39-11.515 N</t>
  </si>
  <si>
    <t>72-13.641 W</t>
  </si>
  <si>
    <t>WAT_BP_01</t>
  </si>
  <si>
    <t>32-06.362 N</t>
  </si>
  <si>
    <t>77-05.659 W</t>
  </si>
  <si>
    <t>WAT_BP_02</t>
  </si>
  <si>
    <t>32-06.417 N</t>
  </si>
  <si>
    <t>77-05.406 W</t>
  </si>
  <si>
    <t>WAT_BS_01</t>
  </si>
  <si>
    <t>30-35.027 N</t>
  </si>
  <si>
    <t>77-23.443 W</t>
  </si>
  <si>
    <t>WAT_BS_02</t>
  </si>
  <si>
    <t>30-34.982 N</t>
  </si>
  <si>
    <t>77-23.426 W</t>
  </si>
  <si>
    <t>WAT_BS_03</t>
  </si>
  <si>
    <t>30-34.977 N</t>
  </si>
  <si>
    <t>77-23.401 W</t>
  </si>
  <si>
    <t>WAT_GS_01</t>
  </si>
  <si>
    <t>33-39.938 N</t>
  </si>
  <si>
    <t>76-00.083 W</t>
  </si>
  <si>
    <t>WAT_GS_02</t>
  </si>
  <si>
    <t>33-40.021 N</t>
  </si>
  <si>
    <t>75-59.968 W</t>
  </si>
  <si>
    <t>WAT_GS_03</t>
  </si>
  <si>
    <t>33-40.195 N</t>
  </si>
  <si>
    <t>75-59.862 W</t>
  </si>
  <si>
    <t>WAT_HZ_01</t>
  </si>
  <si>
    <t>41-03.715 N</t>
  </si>
  <si>
    <t>66-21.092 W</t>
  </si>
  <si>
    <t>WAT_HZ_03</t>
  </si>
  <si>
    <t>41-03.699 N</t>
  </si>
  <si>
    <t>66-21.093 W</t>
  </si>
  <si>
    <t>WAT_HZ_04</t>
  </si>
  <si>
    <t>WAT_NC_01</t>
  </si>
  <si>
    <t>39-49.949 N</t>
  </si>
  <si>
    <t>69-58.928 W</t>
  </si>
  <si>
    <t>WAT_NC_02</t>
  </si>
  <si>
    <t>39-49.943 N</t>
  </si>
  <si>
    <t>69-58.926 W</t>
  </si>
  <si>
    <t>WAT_NC_04</t>
  </si>
  <si>
    <t>39-49.977 N</t>
  </si>
  <si>
    <t>69-58.916 W</t>
  </si>
  <si>
    <t>WAT_OC_01</t>
  </si>
  <si>
    <t>40-15.798 N</t>
  </si>
  <si>
    <t>67-59.174 W</t>
  </si>
  <si>
    <t>WAT_OC_04</t>
  </si>
  <si>
    <t>40-13.800 N</t>
  </si>
  <si>
    <t>67-58.679 W</t>
  </si>
  <si>
    <t>WAT_WC_01</t>
  </si>
  <si>
    <t>38-22.449 N</t>
  </si>
  <si>
    <t>73-22.241 W</t>
  </si>
  <si>
    <t>WAT_WC_02</t>
  </si>
  <si>
    <t>38-22.431 N</t>
  </si>
  <si>
    <t>73-22.209 W</t>
  </si>
  <si>
    <t>WAT_WC_03</t>
  </si>
  <si>
    <t>38-22.402 N</t>
  </si>
  <si>
    <t>73-22.191 W</t>
  </si>
  <si>
    <t>GofAK_AB_01</t>
  </si>
  <si>
    <t>A TF?</t>
  </si>
  <si>
    <t>x</t>
  </si>
  <si>
    <t>xweak data</t>
  </si>
  <si>
    <t>xincomplete wind</t>
  </si>
  <si>
    <t>xBig TF change</t>
  </si>
  <si>
    <t>xstill some Byte  Swapped</t>
  </si>
  <si>
    <t>xmissing d1-8</t>
  </si>
  <si>
    <t>xmissing d1-4</t>
  </si>
  <si>
    <t>xmissing d1-3</t>
  </si>
  <si>
    <t>xpoor fit</t>
  </si>
  <si>
    <t>58-38.741 N</t>
  </si>
  <si>
    <t>148-04.129 W</t>
  </si>
  <si>
    <t>56-14.635 N</t>
  </si>
  <si>
    <t>142-45.431 W</t>
  </si>
  <si>
    <t>56-20.363 N</t>
  </si>
  <si>
    <t>145-11.235 W</t>
  </si>
  <si>
    <t>56-14.607 N</t>
  </si>
  <si>
    <t>142-45.439 W</t>
  </si>
  <si>
    <t>58-40.312 N</t>
  </si>
  <si>
    <t>148-01.313 W</t>
  </si>
  <si>
    <t>56-20.441 N</t>
  </si>
  <si>
    <t>145-11.110 W</t>
  </si>
  <si>
    <t>56-20.341 N</t>
  </si>
  <si>
    <t>145-11.183 W</t>
  </si>
  <si>
    <t>59-00.500 N</t>
  </si>
  <si>
    <t>148-54.100 W</t>
  </si>
  <si>
    <t>58-40.409 N</t>
  </si>
  <si>
    <t>148-00.546 W</t>
  </si>
  <si>
    <t>58-40.260 N</t>
  </si>
  <si>
    <t>148-01.430 W</t>
  </si>
  <si>
    <t>56-20.478 N</t>
  </si>
  <si>
    <t>145-10.994 W</t>
  </si>
  <si>
    <t>58-40.249 N</t>
  </si>
  <si>
    <t>148-01.464 W</t>
  </si>
  <si>
    <t>56-14.575 N</t>
  </si>
  <si>
    <t>142-45.409 W</t>
  </si>
  <si>
    <t>59-00.609 N</t>
  </si>
  <si>
    <t>148-53.963 W</t>
  </si>
  <si>
    <t>57-20.000 N</t>
  </si>
  <si>
    <t>150-40.070 W</t>
  </si>
  <si>
    <t>57-20.137 N</t>
  </si>
  <si>
    <t>150-41.989 W</t>
  </si>
  <si>
    <t>58-39.315 N</t>
  </si>
  <si>
    <t>148-05.476 W</t>
  </si>
  <si>
    <t>58-40.220 N</t>
  </si>
  <si>
    <t>148-01.620 W</t>
  </si>
  <si>
    <t>58-40.170 N</t>
  </si>
  <si>
    <t>148-01.500 W</t>
  </si>
  <si>
    <t>Column1</t>
  </si>
  <si>
    <t>06:00:00</t>
  </si>
  <si>
    <t>09:30:25</t>
  </si>
  <si>
    <t>Socal_SN_56</t>
  </si>
  <si>
    <t>Socal_SN_57</t>
  </si>
  <si>
    <t>Socal_SN_58</t>
  </si>
  <si>
    <t>Socal_SN_59</t>
  </si>
  <si>
    <t>Socal_T_02</t>
  </si>
  <si>
    <t>Socal_T_03</t>
  </si>
  <si>
    <t>Socal_U_01</t>
  </si>
  <si>
    <t>GofMX05GC_TFCorr.mat</t>
  </si>
  <si>
    <t>Column2</t>
  </si>
  <si>
    <t>Socal_A2_32</t>
  </si>
  <si>
    <t>Socal_G2_33</t>
  </si>
  <si>
    <t>Socal_G_18</t>
  </si>
  <si>
    <t>Socal_E_19</t>
  </si>
  <si>
    <t>Socal_H_18</t>
  </si>
  <si>
    <t>Socal_B_32</t>
  </si>
  <si>
    <t>Socal_CINMSB_09</t>
  </si>
  <si>
    <t>WAT_USWTRA_01</t>
  </si>
  <si>
    <t>Socal_G_19</t>
  </si>
  <si>
    <t>Socal_CINMSC_05</t>
  </si>
  <si>
    <t>Socal_A_19</t>
  </si>
  <si>
    <t>Socal_H_26</t>
  </si>
  <si>
    <t>Socal_A_22</t>
  </si>
  <si>
    <t>Socal_CINMSB_02</t>
  </si>
  <si>
    <t>Socal_H_27</t>
  </si>
  <si>
    <t>Socal_E_29</t>
  </si>
  <si>
    <t>Socal_M_31</t>
  </si>
  <si>
    <t>Socal_E_32</t>
  </si>
  <si>
    <t>Socal_N_33</t>
  </si>
  <si>
    <t>Socal_M_34</t>
  </si>
  <si>
    <t>Socal_G2_35</t>
  </si>
  <si>
    <t>Socal_E_27</t>
  </si>
  <si>
    <t>Socal_H_29</t>
  </si>
  <si>
    <t>Socal_G_26</t>
  </si>
  <si>
    <t>Socal_CINMSB_04</t>
  </si>
  <si>
    <t>WAT_JAXA_03</t>
  </si>
  <si>
    <t>Socal_CINMSC_04</t>
  </si>
  <si>
    <t>Socal_CINMSB_03</t>
  </si>
  <si>
    <t>Socal_CINMSB_05</t>
  </si>
  <si>
    <t>Socal_M_37</t>
  </si>
  <si>
    <t>Socal_E_31</t>
  </si>
  <si>
    <t>Socal_H_32</t>
  </si>
  <si>
    <t>Socal_H_30</t>
  </si>
  <si>
    <t>Socal_N_31</t>
  </si>
  <si>
    <t>WAT_JAXA_02</t>
  </si>
  <si>
    <t>WAT_JAXB_01</t>
  </si>
  <si>
    <t>Socal_G2_32</t>
  </si>
  <si>
    <t>Socal_M_33</t>
  </si>
  <si>
    <t>Socal_G2_31</t>
  </si>
  <si>
    <t>Socal_M_32</t>
  </si>
  <si>
    <t>Socal_E_33</t>
  </si>
  <si>
    <t>Socal_G2_34</t>
  </si>
  <si>
    <t>Socal_H_35</t>
  </si>
  <si>
    <t>Socal_H_31</t>
  </si>
  <si>
    <t>Socal_N_32</t>
  </si>
  <si>
    <t>36-23.336 N</t>
  </si>
  <si>
    <t>122-18.409 W</t>
  </si>
  <si>
    <t>36-23.479 N</t>
  </si>
  <si>
    <t>122-18.450 W</t>
  </si>
  <si>
    <t>GofMX_HH_01</t>
  </si>
  <si>
    <t>GofMX_HH_04</t>
  </si>
  <si>
    <t>Socal_H_34</t>
  </si>
  <si>
    <t>Socal_N_35</t>
  </si>
  <si>
    <t>Socal_M_44</t>
  </si>
  <si>
    <t>Socal_N_34</t>
  </si>
  <si>
    <t>WAT_HATA_01</t>
  </si>
  <si>
    <t>WAT_USWTRC_04</t>
  </si>
  <si>
    <t>WAT_USWTRD_05</t>
  </si>
  <si>
    <t>Hawaii_EquatorA_01</t>
  </si>
  <si>
    <t>Hawaii_KauaiA_01</t>
  </si>
  <si>
    <t>Socal_Q_35</t>
  </si>
  <si>
    <t>Socal_H_37</t>
  </si>
  <si>
    <t>Socal_N_38</t>
  </si>
  <si>
    <t>Socal_S_40</t>
  </si>
  <si>
    <t>Socal_S_41</t>
  </si>
  <si>
    <t>GofMX_MP_01</t>
  </si>
  <si>
    <t>Socal_M_35</t>
  </si>
  <si>
    <t>Socal_R_36</t>
  </si>
  <si>
    <t>Socal_CINMSB_12</t>
  </si>
  <si>
    <t>Socal_CINMSB_16</t>
  </si>
  <si>
    <t>Socal_CINMSC_13</t>
  </si>
  <si>
    <t>Socal_CINMSC_15</t>
  </si>
  <si>
    <t>Socal_CINMSB_13</t>
  </si>
  <si>
    <t>Socal_CINMSC_10</t>
  </si>
  <si>
    <t>Socal_CINMSC_12</t>
  </si>
  <si>
    <t>Socal_CINMSC_16</t>
  </si>
  <si>
    <t>Hawaii_TinianA_02</t>
  </si>
  <si>
    <t>Socal_Q_36</t>
  </si>
  <si>
    <t>Socal_R_37</t>
  </si>
  <si>
    <t>Socal_N_40</t>
  </si>
  <si>
    <t>GofMX_DC_05</t>
  </si>
  <si>
    <t>GofMX_MC1_01</t>
  </si>
  <si>
    <t>GofMX_MC1_02</t>
  </si>
  <si>
    <t>WAT_NFCA_03</t>
  </si>
  <si>
    <t>Socal_H_66</t>
  </si>
  <si>
    <t>Socal_E_64</t>
  </si>
  <si>
    <t>Hawaii_SaipanA_08</t>
  </si>
  <si>
    <t>Socal_BajaGI_01</t>
  </si>
  <si>
    <t>GofMX_MC1_03</t>
  </si>
  <si>
    <t>GofMX_MC1_05</t>
  </si>
  <si>
    <t>Socal_N_36</t>
  </si>
  <si>
    <t>Socal_S_37</t>
  </si>
  <si>
    <t>OCNMS_CE_14</t>
  </si>
  <si>
    <t>Socal_N_37</t>
  </si>
  <si>
    <t>Socal_S_38</t>
  </si>
  <si>
    <t>Socal_P_36</t>
  </si>
  <si>
    <t>Socal_Q_38</t>
  </si>
  <si>
    <t>Socal_M_40</t>
  </si>
  <si>
    <t>GofMX_DT_01</t>
  </si>
  <si>
    <t>GofMX_DT_02</t>
  </si>
  <si>
    <t>GofMX_DT_03</t>
  </si>
  <si>
    <t>Hawaii_PHRA_05</t>
  </si>
  <si>
    <t>Socal_R_38</t>
  </si>
  <si>
    <t>Socal_H_40</t>
  </si>
  <si>
    <t>Socal_N_41</t>
  </si>
  <si>
    <t>Hawaii_KauaiA_02</t>
  </si>
  <si>
    <t>Hawaii_KingA_01</t>
  </si>
  <si>
    <t>Hawaii_PHRA_04</t>
  </si>
  <si>
    <t>Hawaii_WakeS_01</t>
  </si>
  <si>
    <t>Hawaii_SaipanA_01</t>
  </si>
  <si>
    <t>Hawaii_SaipanA_02</t>
  </si>
  <si>
    <t>Hawaii_PHRA_02</t>
  </si>
  <si>
    <t>GofMX_MP_03</t>
  </si>
  <si>
    <t>GofMX_MP_04</t>
  </si>
  <si>
    <t>Socal_M_38</t>
  </si>
  <si>
    <t>Socal_R_40</t>
  </si>
  <si>
    <t>Hawaii_TinianA_03</t>
  </si>
  <si>
    <t>Hawaii_WakeS_04</t>
  </si>
  <si>
    <t>Aleut_BD_03</t>
  </si>
  <si>
    <t>Aleut_BD_02</t>
  </si>
  <si>
    <t>GofMX_GC_01</t>
  </si>
  <si>
    <t>GofMX_GC_02</t>
  </si>
  <si>
    <t>GofMX_GC_03</t>
  </si>
  <si>
    <t>GofMX_GC_04</t>
  </si>
  <si>
    <t>27-33.470 N</t>
  </si>
  <si>
    <t>91-10.010 W</t>
  </si>
  <si>
    <t>27-33.466 N</t>
  </si>
  <si>
    <t>91-10.014 W</t>
  </si>
  <si>
    <t>27-33.424 N</t>
  </si>
  <si>
    <t>27-33.426 N</t>
  </si>
  <si>
    <t>91-10.060 W</t>
  </si>
  <si>
    <t>GofMX_DC_03</t>
  </si>
  <si>
    <t>32-54.897 N</t>
  </si>
  <si>
    <t>120-22.523 W</t>
  </si>
  <si>
    <t>OCNMS_CE_13</t>
  </si>
  <si>
    <t>Socal_H_41</t>
  </si>
  <si>
    <t>Socal_M_41</t>
  </si>
  <si>
    <t>Socal_H_44</t>
  </si>
  <si>
    <t>Socal_M_45</t>
  </si>
  <si>
    <t>Socal_CINMSB_18</t>
  </si>
  <si>
    <t>GofAK_CB_01</t>
  </si>
  <si>
    <t>36-23.472 N</t>
  </si>
  <si>
    <t>122-18.419 W</t>
  </si>
  <si>
    <t>36-17.945 N</t>
  </si>
  <si>
    <t>122-23.633 W</t>
  </si>
  <si>
    <t>Socal_N_45</t>
  </si>
  <si>
    <t>Socal_N_46</t>
  </si>
  <si>
    <t>Socal_CINMSC_18</t>
  </si>
  <si>
    <t>Socal_CINMSB_17</t>
  </si>
  <si>
    <t>GofAK_PT_02</t>
  </si>
  <si>
    <t>Socal_H_45</t>
  </si>
  <si>
    <t>GofMX_MC1_06</t>
  </si>
  <si>
    <t>Hawaii_SaipanA_04</t>
  </si>
  <si>
    <t>Hawaii_TinianA_05</t>
  </si>
  <si>
    <t>Hawaii_WakeS_07</t>
  </si>
  <si>
    <t>GofMX_MP_05</t>
  </si>
  <si>
    <t>GofMX_GC_05</t>
  </si>
  <si>
    <t>27-33.440 N</t>
  </si>
  <si>
    <t>91-10.562 W</t>
  </si>
  <si>
    <t>34-17.156 N</t>
  </si>
  <si>
    <t>120-01.473 W</t>
  </si>
  <si>
    <t>Socal_N_49</t>
  </si>
  <si>
    <t>WAT_JAXC_10</t>
  </si>
  <si>
    <t>Hawaii_PHRA_09</t>
  </si>
  <si>
    <t>Hawaii_HowlandA_01</t>
  </si>
  <si>
    <t>GofAK_CB_04</t>
  </si>
  <si>
    <t>Hawaii_PHRA_10</t>
  </si>
  <si>
    <t>Hawaii_WakeS_06</t>
  </si>
  <si>
    <t>WAT_JAXD_11</t>
  </si>
  <si>
    <t>Socal_DCPPC_01</t>
  </si>
  <si>
    <t>GofAK_QN_05</t>
  </si>
  <si>
    <t>GofMX_MP_06</t>
  </si>
  <si>
    <t>34-17.112 N</t>
  </si>
  <si>
    <t>120-01.640 W</t>
  </si>
  <si>
    <t>Socal_M_48</t>
  </si>
  <si>
    <t>GofAK_QN_01</t>
  </si>
  <si>
    <t>Socal_CINMSC_23</t>
  </si>
  <si>
    <t>GofMX_GC_06</t>
  </si>
  <si>
    <t>GofMX_GC_07</t>
  </si>
  <si>
    <t>Hawaii_SaipanA_05</t>
  </si>
  <si>
    <t>Hawaii_TinianA_04</t>
  </si>
  <si>
    <t>Hawaii_PaganA_01</t>
  </si>
  <si>
    <t>Socal_CINMSB_20</t>
  </si>
  <si>
    <t>Socal_H_59</t>
  </si>
  <si>
    <t>Socal_M_49</t>
  </si>
  <si>
    <t>WAT_HATA_05</t>
  </si>
  <si>
    <t>176-64.488 W</t>
  </si>
  <si>
    <t>00-49.032 N</t>
  </si>
  <si>
    <t>Socal_N_56</t>
  </si>
  <si>
    <t>GofAK_CA_05</t>
  </si>
  <si>
    <t>GofAK_CB_03</t>
  </si>
  <si>
    <t>GofAK_CB_05</t>
  </si>
  <si>
    <t>GofAK_QN_04</t>
  </si>
  <si>
    <t>WAT_BMA_01</t>
  </si>
  <si>
    <t>GofAK_CB_06</t>
  </si>
  <si>
    <t>Socal_H_58</t>
  </si>
  <si>
    <t>Socal_H_56</t>
  </si>
  <si>
    <t>Socal_CINMSB_27</t>
  </si>
  <si>
    <t>Hawaii_PHRA_08</t>
  </si>
  <si>
    <t>GofAK_PT_03</t>
  </si>
  <si>
    <t>GofMX_MC2_10</t>
  </si>
  <si>
    <t>GofAK_CA_04</t>
  </si>
  <si>
    <t>GofAK_KO_03</t>
  </si>
  <si>
    <t>GofMX_GC_08</t>
  </si>
  <si>
    <t>GofAK_KO_02</t>
  </si>
  <si>
    <t>Socal_H_50</t>
  </si>
  <si>
    <t>WAT_BMA_03</t>
  </si>
  <si>
    <t>Socal_M_50</t>
  </si>
  <si>
    <t>Socal_N_57</t>
  </si>
  <si>
    <t>Antarc_El_01</t>
  </si>
  <si>
    <t>34-17.115 N</t>
  </si>
  <si>
    <t>120-01.639 W</t>
  </si>
  <si>
    <t>GofMX_MC1_13</t>
  </si>
  <si>
    <t>GofMX_MC2_09</t>
  </si>
  <si>
    <t>GofMX_MP_08</t>
  </si>
  <si>
    <t>Socal_H_51</t>
  </si>
  <si>
    <t>Hawaii_WakeS_05</t>
  </si>
  <si>
    <t>19-13.330 N</t>
  </si>
  <si>
    <t>166-41.673 E</t>
  </si>
  <si>
    <t>Socal_H_55</t>
  </si>
  <si>
    <t>Hawaii_KauaiA_05</t>
  </si>
  <si>
    <t>Socal_M_52</t>
  </si>
  <si>
    <t>Socal_N_52</t>
  </si>
  <si>
    <t>Socal_CINMSB_31</t>
  </si>
  <si>
    <t>Socal_H_52</t>
  </si>
  <si>
    <t>Socal_N_53</t>
  </si>
  <si>
    <t>GofAK_CB_07</t>
  </si>
  <si>
    <t>Socal_N_59</t>
  </si>
  <si>
    <t>Socal_CINMSC_32</t>
  </si>
  <si>
    <t>Socal_CINMSC_26</t>
  </si>
  <si>
    <t>Socal_CINMSC_28</t>
  </si>
  <si>
    <t>Socal_CINMSB_29</t>
  </si>
  <si>
    <t>Socal_CINMSB_30_00</t>
  </si>
  <si>
    <t>WAT_HATB_04_01</t>
  </si>
  <si>
    <t>WAT_NFCA_04</t>
  </si>
  <si>
    <t>Socal_N_62</t>
  </si>
  <si>
    <t>Socal_N_64</t>
  </si>
  <si>
    <t>WAT_NFCA_02</t>
  </si>
  <si>
    <t>Socal_H_65</t>
  </si>
  <si>
    <t>Socal_N_63</t>
  </si>
  <si>
    <t>WAT_HATB_05</t>
  </si>
  <si>
    <t>WAT_HATA_06</t>
  </si>
  <si>
    <t>Socal_CCE1SB_01</t>
  </si>
  <si>
    <t>32-53.914 N</t>
  </si>
  <si>
    <t>WAT_JAXD_15</t>
  </si>
  <si>
    <t>Socal_E_61</t>
  </si>
  <si>
    <t>Socal_E_62</t>
  </si>
  <si>
    <t>Socal_H_61</t>
  </si>
  <si>
    <t>GofAK_PT_01</t>
  </si>
  <si>
    <t>GofAK_QN_02</t>
  </si>
  <si>
    <t>Hawaii_PHRA_01</t>
  </si>
  <si>
    <t>Hawaii_TinianA_07</t>
  </si>
  <si>
    <t>Socal_N_61</t>
  </si>
  <si>
    <t>Socal_M_46</t>
  </si>
  <si>
    <t>Socal_N_47</t>
  </si>
  <si>
    <t>Socal_CINMSC_20</t>
  </si>
  <si>
    <t>Hawaii_SaipanA_06</t>
  </si>
  <si>
    <t>Socal_CINMSB_19</t>
  </si>
  <si>
    <t>Socal_CINMSB_21</t>
  </si>
  <si>
    <t>Socal_CINMSB_22</t>
  </si>
  <si>
    <t>Socal_PSA_12</t>
  </si>
  <si>
    <t>Socal_PSB_07</t>
  </si>
  <si>
    <t>Socal_PSB_09</t>
  </si>
  <si>
    <t>Socal_PSB_11</t>
  </si>
  <si>
    <t>Socal_SN_40</t>
  </si>
  <si>
    <t>Socal_TB_01</t>
  </si>
  <si>
    <t>Socal_G_23</t>
  </si>
  <si>
    <t>Socal_M_51</t>
  </si>
  <si>
    <t>WAT_HATA_03</t>
  </si>
  <si>
    <t>WAT_JAXD_13</t>
  </si>
  <si>
    <t>30-16.520 N</t>
  </si>
  <si>
    <t>117-36.586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</si>
</sst>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1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1" fontId="0" fillId="0" borderId="10" xfId="0" applyNumberFormat="1" applyFill="1" applyBorder="1"/>
    <xf numFmtId="14" fontId="0" fillId="0" borderId="10" xfId="0" applyNumberFormat="1" applyFill="1" applyBorder="1"/>
    <xf numFmtId="21" fontId="0" fillId="0" borderId="10" xfId="0" applyNumberFormat="1" applyFill="1" applyBorder="1"/>
    <xf numFmtId="0" fontId="0" fillId="0" borderId="10" xfId="0" applyFont="1" applyFill="1" applyBorder="1" applyAlignment="1">
      <alignment horizontal="center"/>
    </xf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5" xfId="0" applyFill="1" applyBorder="1"/>
    <xf numFmtId="1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7" xfId="0" applyFill="1" applyBorder="1"/>
    <xf numFmtId="14" fontId="0" fillId="0" borderId="17" xfId="0" applyNumberFormat="1" applyFill="1" applyBorder="1"/>
    <xf numFmtId="21" fontId="0" fillId="0" borderId="17" xfId="0" applyNumberFormat="1" applyFill="1" applyBorder="1"/>
    <xf numFmtId="1" fontId="0" fillId="0" borderId="17" xfId="0" applyNumberFormat="1" applyFill="1" applyBorder="1"/>
    <xf numFmtId="0" fontId="19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164" fontId="0" fillId="0" borderId="10" xfId="0" applyNumberFormat="1" applyFill="1" applyBorder="1"/>
    <xf numFmtId="0" fontId="20" fillId="0" borderId="1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6" formatCode="h:mm:ss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m/d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6" formatCode="h:mm:ss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96" totalsRowCount="1" headerRowDxfId="30" dataDxfId="28" totalsRowDxfId="26" headerRowBorderDxfId="29" tableBorderDxfId="27">
  <autoFilter ref="A1:M295"/>
  <sortState ref="A2:M298">
    <sortCondition ref="A2:A298"/>
  </sortState>
  <tableColumns count="13">
    <tableColumn id="1" name="Data_ID" dataDxfId="25" totalsRowDxfId="12"/>
    <tableColumn id="2" name="PreAmp" dataDxfId="24" totalsRowDxfId="11"/>
    <tableColumn id="3" name="A TF?" dataDxfId="23" totalsRowDxfId="10"/>
    <tableColumn id="4" name="Latitude" dataDxfId="22" totalsRowDxfId="9"/>
    <tableColumn id="5" name="Longitude" dataDxfId="21" totalsRowDxfId="8"/>
    <tableColumn id="6" name="Depth_m" dataDxfId="20" totalsRowDxfId="7"/>
    <tableColumn id="7" name="Column1" dataDxfId="19" totalsRowDxfId="6"/>
    <tableColumn id="8" name="Data_Start_Date" dataDxfId="18" totalsRowDxfId="5"/>
    <tableColumn id="9" name="Data_Start_Time" dataDxfId="17" totalsRowDxfId="4"/>
    <tableColumn id="10" name="Data_End_Date" dataDxfId="16" totalsRowDxfId="3"/>
    <tableColumn id="11" name="Data_End_Time" dataDxfId="15" totalsRowDxfId="2"/>
    <tableColumn id="12" name="Rec_Dur" dataDxfId="14" totalsRowDxfId="1"/>
    <tableColumn id="16" name="Column2" dataDxfId="13" totalsRow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tabSelected="1" topLeftCell="A232" zoomScale="112" zoomScaleNormal="112" workbookViewId="0">
      <selection activeCell="E245" sqref="E245"/>
    </sheetView>
  </sheetViews>
  <sheetFormatPr defaultColWidth="9.140625" defaultRowHeight="15"/>
  <cols>
    <col min="1" max="1" width="24.42578125" style="1" customWidth="1"/>
    <col min="2" max="2" width="9.28515625" style="2" bestFit="1" customWidth="1"/>
    <col min="3" max="3" width="16.28515625" style="2" hidden="1" customWidth="1"/>
    <col min="4" max="4" width="13.42578125" style="6" customWidth="1"/>
    <col min="5" max="5" width="14" style="6" customWidth="1"/>
    <col min="6" max="6" width="13.85546875" style="6" customWidth="1"/>
    <col min="7" max="7" width="9.28515625" style="1" hidden="1" customWidth="1"/>
    <col min="8" max="8" width="15.28515625" style="1" customWidth="1"/>
    <col min="9" max="9" width="9.28515625" style="1" hidden="1" customWidth="1"/>
    <col min="10" max="10" width="14.42578125" style="1" customWidth="1"/>
    <col min="11" max="11" width="9.28515625" style="1" hidden="1" customWidth="1"/>
    <col min="12" max="12" width="9.28515625" style="3" bestFit="1" customWidth="1"/>
    <col min="13" max="16384" width="9.140625" style="1"/>
  </cols>
  <sheetData>
    <row r="1" spans="1:13">
      <c r="A1" s="8" t="s">
        <v>0</v>
      </c>
      <c r="B1" s="9" t="s">
        <v>1</v>
      </c>
      <c r="C1" s="9" t="s">
        <v>529</v>
      </c>
      <c r="D1" s="10" t="s">
        <v>2</v>
      </c>
      <c r="E1" s="10" t="s">
        <v>3</v>
      </c>
      <c r="F1" s="10" t="s">
        <v>4</v>
      </c>
      <c r="G1" s="11" t="s">
        <v>577</v>
      </c>
      <c r="H1" s="11" t="s">
        <v>5</v>
      </c>
      <c r="I1" s="11" t="s">
        <v>6</v>
      </c>
      <c r="J1" s="11" t="s">
        <v>7</v>
      </c>
      <c r="K1" s="11" t="s">
        <v>8</v>
      </c>
      <c r="L1" s="12" t="s">
        <v>9</v>
      </c>
      <c r="M1" s="11" t="s">
        <v>588</v>
      </c>
    </row>
    <row r="2" spans="1:13">
      <c r="A2" s="7" t="s">
        <v>708</v>
      </c>
      <c r="B2" s="2">
        <v>600</v>
      </c>
      <c r="C2" s="2" t="s">
        <v>530</v>
      </c>
      <c r="D2" s="6" t="s">
        <v>10</v>
      </c>
      <c r="E2" s="6" t="s">
        <v>11</v>
      </c>
      <c r="F2" s="6">
        <v>783</v>
      </c>
      <c r="G2" s="1">
        <v>200</v>
      </c>
      <c r="H2" s="4">
        <v>40417</v>
      </c>
      <c r="I2" s="5">
        <v>0</v>
      </c>
      <c r="J2" s="4">
        <v>40689</v>
      </c>
      <c r="K2" s="5">
        <v>0.33680555555555558</v>
      </c>
      <c r="L2" s="3">
        <v>273</v>
      </c>
    </row>
    <row r="3" spans="1:13">
      <c r="A3" s="7" t="s">
        <v>707</v>
      </c>
      <c r="B3" s="2">
        <v>600</v>
      </c>
      <c r="C3" s="2" t="s">
        <v>530</v>
      </c>
      <c r="D3" s="6" t="s">
        <v>12</v>
      </c>
      <c r="E3" s="6" t="s">
        <v>13</v>
      </c>
      <c r="F3" s="6">
        <v>777</v>
      </c>
      <c r="G3" s="1">
        <v>200</v>
      </c>
      <c r="H3" s="4">
        <v>40694</v>
      </c>
      <c r="I3" s="5">
        <v>0</v>
      </c>
      <c r="J3" s="4">
        <v>41147</v>
      </c>
      <c r="K3" s="5">
        <v>0.82725694444444453</v>
      </c>
      <c r="L3" s="3">
        <v>454</v>
      </c>
    </row>
    <row r="4" spans="1:13">
      <c r="A4" s="7" t="s">
        <v>16</v>
      </c>
      <c r="B4" s="2">
        <v>729</v>
      </c>
      <c r="C4" s="2" t="s">
        <v>530</v>
      </c>
      <c r="D4" s="6" t="s">
        <v>17</v>
      </c>
      <c r="E4" s="6" t="s">
        <v>18</v>
      </c>
      <c r="F4" s="6">
        <v>1033</v>
      </c>
      <c r="G4" s="1">
        <v>200</v>
      </c>
      <c r="H4" s="4">
        <v>42403</v>
      </c>
      <c r="I4" s="5">
        <v>0.99998842592592585</v>
      </c>
      <c r="J4" s="4">
        <v>42706</v>
      </c>
      <c r="K4" s="5">
        <v>0.21880787037037039</v>
      </c>
      <c r="L4" s="3">
        <v>302.2</v>
      </c>
    </row>
    <row r="5" spans="1:13">
      <c r="A5" s="7" t="s">
        <v>798</v>
      </c>
      <c r="B5" s="2">
        <v>725</v>
      </c>
      <c r="C5" s="2" t="s">
        <v>530</v>
      </c>
      <c r="D5" s="6" t="s">
        <v>14</v>
      </c>
      <c r="E5" s="6" t="s">
        <v>15</v>
      </c>
      <c r="F5" s="6">
        <v>762</v>
      </c>
      <c r="G5" s="1">
        <v>200</v>
      </c>
      <c r="H5" s="4">
        <v>41703</v>
      </c>
      <c r="I5" s="5">
        <v>0</v>
      </c>
      <c r="J5" s="4">
        <v>41834</v>
      </c>
      <c r="K5" s="5">
        <v>0.50266203703703705</v>
      </c>
      <c r="L5" s="3">
        <v>134.5</v>
      </c>
    </row>
    <row r="6" spans="1:13">
      <c r="A6" s="7" t="s">
        <v>19</v>
      </c>
      <c r="B6" s="2">
        <v>725</v>
      </c>
      <c r="C6" s="2" t="s">
        <v>535</v>
      </c>
      <c r="D6" s="6" t="s">
        <v>20</v>
      </c>
      <c r="E6" s="6" t="s">
        <v>21</v>
      </c>
      <c r="F6" s="6">
        <v>768</v>
      </c>
      <c r="G6" s="1">
        <v>200</v>
      </c>
      <c r="H6" s="4">
        <v>42045</v>
      </c>
      <c r="I6" s="5">
        <v>0</v>
      </c>
      <c r="J6" s="4">
        <v>42398</v>
      </c>
      <c r="K6" s="5">
        <v>0.55237268518518523</v>
      </c>
      <c r="L6" s="3">
        <v>353.6</v>
      </c>
    </row>
    <row r="7" spans="1:13">
      <c r="A7" s="7" t="s">
        <v>528</v>
      </c>
      <c r="B7" s="2">
        <v>812</v>
      </c>
      <c r="C7" s="2" t="s">
        <v>530</v>
      </c>
      <c r="D7" s="6" t="s">
        <v>91</v>
      </c>
      <c r="E7" s="6" t="s">
        <v>92</v>
      </c>
      <c r="F7" s="6">
        <v>1200</v>
      </c>
      <c r="G7" s="1">
        <v>200</v>
      </c>
      <c r="H7" s="4">
        <v>42854</v>
      </c>
      <c r="I7" s="5">
        <v>0.5</v>
      </c>
      <c r="J7" s="4">
        <v>42992</v>
      </c>
      <c r="K7" s="5">
        <v>0.77611111111111108</v>
      </c>
      <c r="L7" s="3">
        <v>138.30000000000001</v>
      </c>
    </row>
    <row r="8" spans="1:13">
      <c r="A8" s="7" t="s">
        <v>790</v>
      </c>
      <c r="B8" s="2">
        <v>719</v>
      </c>
      <c r="C8" s="2" t="s">
        <v>530</v>
      </c>
      <c r="D8" s="20" t="s">
        <v>565</v>
      </c>
      <c r="E8" s="20" t="s">
        <v>566</v>
      </c>
      <c r="F8" s="6">
        <v>203</v>
      </c>
      <c r="G8" s="1">
        <v>200</v>
      </c>
      <c r="H8" s="4">
        <v>41523</v>
      </c>
      <c r="I8" s="5">
        <v>0</v>
      </c>
      <c r="J8" s="4">
        <v>41757</v>
      </c>
      <c r="K8" s="5">
        <v>0.74305555555555547</v>
      </c>
      <c r="L8" s="3">
        <v>234.7</v>
      </c>
    </row>
    <row r="9" spans="1:13">
      <c r="A9" s="7" t="s">
        <v>778</v>
      </c>
      <c r="B9" s="2">
        <v>707</v>
      </c>
      <c r="C9" s="2" t="s">
        <v>530</v>
      </c>
      <c r="D9" s="20" t="s">
        <v>553</v>
      </c>
      <c r="E9" s="20" t="s">
        <v>554</v>
      </c>
      <c r="F9" s="6">
        <v>201</v>
      </c>
      <c r="G9" s="1">
        <v>200</v>
      </c>
      <c r="H9" s="4">
        <v>41758</v>
      </c>
      <c r="I9" s="5">
        <v>0</v>
      </c>
      <c r="J9" s="4">
        <v>41891</v>
      </c>
      <c r="K9" s="5">
        <v>7.2048611111111105E-2</v>
      </c>
      <c r="L9" s="3">
        <v>133.1</v>
      </c>
    </row>
    <row r="10" spans="1:13">
      <c r="A10" s="7" t="s">
        <v>729</v>
      </c>
      <c r="B10" s="2">
        <v>626</v>
      </c>
      <c r="C10" s="2" t="s">
        <v>530</v>
      </c>
      <c r="D10" s="2" t="s">
        <v>539</v>
      </c>
      <c r="E10" s="2" t="s">
        <v>540</v>
      </c>
      <c r="F10" s="2">
        <v>1000</v>
      </c>
      <c r="G10" s="1">
        <v>200</v>
      </c>
      <c r="H10" s="4">
        <v>40737</v>
      </c>
      <c r="I10" s="5">
        <v>0</v>
      </c>
      <c r="J10" s="4">
        <v>40958</v>
      </c>
      <c r="K10" s="5">
        <v>0.87326388888888884</v>
      </c>
      <c r="L10" s="3">
        <v>221</v>
      </c>
    </row>
    <row r="11" spans="1:13">
      <c r="A11" s="7" t="s">
        <v>779</v>
      </c>
      <c r="B11" s="2">
        <v>707</v>
      </c>
      <c r="C11" s="2" t="s">
        <v>530</v>
      </c>
      <c r="D11" s="20" t="s">
        <v>555</v>
      </c>
      <c r="E11" s="20" t="s">
        <v>556</v>
      </c>
      <c r="F11" s="6">
        <v>877</v>
      </c>
      <c r="G11" s="1">
        <v>200</v>
      </c>
      <c r="H11" s="4">
        <v>41431</v>
      </c>
      <c r="I11" s="5">
        <v>0</v>
      </c>
      <c r="J11" s="4">
        <v>41522</v>
      </c>
      <c r="K11" s="5">
        <v>8.6874999999999994E-2</v>
      </c>
      <c r="L11" s="3">
        <v>91</v>
      </c>
    </row>
    <row r="12" spans="1:13">
      <c r="A12" s="7" t="s">
        <v>754</v>
      </c>
      <c r="B12" s="2">
        <v>678</v>
      </c>
      <c r="C12" s="2" t="s">
        <v>530</v>
      </c>
      <c r="D12" s="20" t="s">
        <v>547</v>
      </c>
      <c r="E12" s="20" t="s">
        <v>548</v>
      </c>
      <c r="F12" s="6">
        <v>858</v>
      </c>
      <c r="G12" s="1">
        <v>200</v>
      </c>
      <c r="H12" s="4">
        <v>41522</v>
      </c>
      <c r="I12" s="5">
        <v>0.29166666666666669</v>
      </c>
      <c r="J12" s="4">
        <v>41757</v>
      </c>
      <c r="K12" s="5">
        <v>0.9609375</v>
      </c>
      <c r="L12" s="3">
        <v>235.7</v>
      </c>
    </row>
    <row r="13" spans="1:13">
      <c r="A13" s="7" t="s">
        <v>780</v>
      </c>
      <c r="B13" s="2">
        <v>709</v>
      </c>
      <c r="C13" s="2" t="s">
        <v>530</v>
      </c>
      <c r="D13" s="20" t="s">
        <v>557</v>
      </c>
      <c r="E13" s="20" t="s">
        <v>558</v>
      </c>
      <c r="F13" s="6">
        <v>914</v>
      </c>
      <c r="G13" s="1">
        <v>200</v>
      </c>
      <c r="H13" s="4">
        <v>41758</v>
      </c>
      <c r="I13" s="5">
        <v>0</v>
      </c>
      <c r="J13" s="4">
        <v>41891</v>
      </c>
      <c r="K13" s="5">
        <v>0.26253472222222224</v>
      </c>
      <c r="L13" s="3">
        <v>133.30000000000001</v>
      </c>
    </row>
    <row r="14" spans="1:13">
      <c r="A14" s="7" t="s">
        <v>783</v>
      </c>
      <c r="B14" s="2">
        <v>711</v>
      </c>
      <c r="C14" s="2" t="s">
        <v>530</v>
      </c>
      <c r="D14" s="20" t="s">
        <v>561</v>
      </c>
      <c r="E14" s="20" t="s">
        <v>562</v>
      </c>
      <c r="F14" s="6">
        <v>900</v>
      </c>
      <c r="G14" s="1">
        <v>200</v>
      </c>
      <c r="H14" s="4">
        <v>41891</v>
      </c>
      <c r="I14" s="5">
        <v>0.5</v>
      </c>
      <c r="J14" s="4">
        <v>42126</v>
      </c>
      <c r="K14" s="5">
        <v>5.6851851851851855E-2</v>
      </c>
      <c r="L14" s="3">
        <v>234.6</v>
      </c>
    </row>
    <row r="15" spans="1:13">
      <c r="A15" s="7" t="s">
        <v>815</v>
      </c>
      <c r="B15" s="2">
        <v>742</v>
      </c>
      <c r="C15" s="2" t="s">
        <v>530</v>
      </c>
      <c r="D15" s="20" t="s">
        <v>571</v>
      </c>
      <c r="E15" s="20" t="s">
        <v>572</v>
      </c>
      <c r="F15" s="6">
        <v>931</v>
      </c>
      <c r="G15" s="1">
        <v>200</v>
      </c>
      <c r="H15" s="4">
        <v>42125</v>
      </c>
      <c r="I15" s="5">
        <v>0.14583333333333334</v>
      </c>
      <c r="J15" s="4">
        <v>42253</v>
      </c>
      <c r="K15" s="5">
        <v>0.3263888888888889</v>
      </c>
      <c r="L15" s="3">
        <v>128.19999999999999</v>
      </c>
    </row>
    <row r="16" spans="1:13">
      <c r="A16" s="7" t="s">
        <v>93</v>
      </c>
      <c r="B16" s="2">
        <v>823</v>
      </c>
      <c r="C16" s="2" t="s">
        <v>530</v>
      </c>
      <c r="D16" s="20" t="s">
        <v>575</v>
      </c>
      <c r="E16" s="20" t="s">
        <v>576</v>
      </c>
      <c r="F16" s="6">
        <v>874</v>
      </c>
      <c r="G16" s="1">
        <v>200</v>
      </c>
      <c r="H16" s="4">
        <v>42855</v>
      </c>
      <c r="I16" s="5">
        <v>0.5</v>
      </c>
      <c r="J16" s="4">
        <v>42990</v>
      </c>
      <c r="K16" s="5">
        <v>0.50440972222222225</v>
      </c>
      <c r="L16" s="3">
        <v>135.4</v>
      </c>
    </row>
    <row r="17" spans="1:12">
      <c r="A17" s="7" t="s">
        <v>94</v>
      </c>
      <c r="B17" s="2">
        <v>822</v>
      </c>
      <c r="C17" s="2" t="s">
        <v>530</v>
      </c>
      <c r="D17" s="20" t="s">
        <v>573</v>
      </c>
      <c r="E17" s="20" t="s">
        <v>574</v>
      </c>
      <c r="F17" s="6">
        <v>900</v>
      </c>
      <c r="G17" s="1">
        <v>200</v>
      </c>
      <c r="H17" s="4">
        <v>42992</v>
      </c>
      <c r="I17" s="5">
        <v>0.5</v>
      </c>
      <c r="J17" s="4">
        <v>43267</v>
      </c>
      <c r="K17" s="5">
        <v>0.62069444444444444</v>
      </c>
      <c r="L17" s="3">
        <v>275.10000000000002</v>
      </c>
    </row>
    <row r="18" spans="1:12">
      <c r="A18" s="7" t="s">
        <v>793</v>
      </c>
      <c r="B18" s="2">
        <v>720</v>
      </c>
      <c r="C18" s="2" t="s">
        <v>530</v>
      </c>
      <c r="D18" s="20" t="s">
        <v>569</v>
      </c>
      <c r="E18" s="20" t="s">
        <v>570</v>
      </c>
      <c r="F18" s="6">
        <v>230</v>
      </c>
      <c r="G18" s="1">
        <v>200</v>
      </c>
      <c r="H18" s="4">
        <v>41525</v>
      </c>
      <c r="I18" s="5">
        <v>0.24998842592592593</v>
      </c>
      <c r="J18" s="4">
        <v>41760</v>
      </c>
      <c r="K18" s="5">
        <v>0.23175925925925925</v>
      </c>
      <c r="L18" s="3">
        <v>235</v>
      </c>
    </row>
    <row r="19" spans="1:12">
      <c r="A19" s="7" t="s">
        <v>791</v>
      </c>
      <c r="B19" s="2">
        <v>719</v>
      </c>
      <c r="C19" s="2" t="s">
        <v>530</v>
      </c>
      <c r="D19" s="20" t="s">
        <v>567</v>
      </c>
      <c r="E19" s="20" t="s">
        <v>568</v>
      </c>
      <c r="F19" s="6">
        <v>232</v>
      </c>
      <c r="G19" s="1">
        <v>200</v>
      </c>
      <c r="H19" s="4">
        <v>41760</v>
      </c>
      <c r="I19" s="5">
        <v>0.25</v>
      </c>
      <c r="J19" s="4">
        <v>41893</v>
      </c>
      <c r="K19" s="5">
        <v>0.79427083333333337</v>
      </c>
      <c r="L19" s="3">
        <v>133.5</v>
      </c>
    </row>
    <row r="20" spans="1:12">
      <c r="A20" s="7" t="s">
        <v>837</v>
      </c>
      <c r="B20" s="2">
        <v>671</v>
      </c>
      <c r="C20" s="2" t="s">
        <v>530</v>
      </c>
      <c r="D20" s="20" t="s">
        <v>545</v>
      </c>
      <c r="E20" s="20" t="s">
        <v>546</v>
      </c>
      <c r="F20" s="6">
        <v>989</v>
      </c>
      <c r="G20" s="1">
        <v>200</v>
      </c>
      <c r="H20" s="4">
        <v>41161</v>
      </c>
      <c r="I20" s="5">
        <v>0</v>
      </c>
      <c r="J20" s="4">
        <v>41435</v>
      </c>
      <c r="K20" s="5">
        <v>0.62847222222222221</v>
      </c>
      <c r="L20" s="3">
        <v>274</v>
      </c>
    </row>
    <row r="21" spans="1:12">
      <c r="A21" s="7" t="s">
        <v>738</v>
      </c>
      <c r="B21" s="2">
        <v>648</v>
      </c>
      <c r="C21" s="2" t="s">
        <v>530</v>
      </c>
      <c r="D21" s="20" t="s">
        <v>541</v>
      </c>
      <c r="E21" s="20" t="s">
        <v>542</v>
      </c>
      <c r="F21" s="20">
        <v>987</v>
      </c>
      <c r="G21" s="1">
        <v>200</v>
      </c>
      <c r="H21" s="4">
        <v>41436</v>
      </c>
      <c r="I21" s="5">
        <v>8.3333333333333329E-2</v>
      </c>
      <c r="J21" s="4">
        <v>41506</v>
      </c>
      <c r="K21" s="5">
        <v>0.10416666666666667</v>
      </c>
      <c r="L21" s="3">
        <v>40</v>
      </c>
    </row>
    <row r="22" spans="1:12">
      <c r="A22" s="7" t="s">
        <v>788</v>
      </c>
      <c r="B22" s="2">
        <v>717</v>
      </c>
      <c r="C22" s="2" t="s">
        <v>530</v>
      </c>
      <c r="D22" s="20" t="s">
        <v>563</v>
      </c>
      <c r="E22" s="20" t="s">
        <v>564</v>
      </c>
      <c r="F22" s="6">
        <v>988</v>
      </c>
      <c r="G22" s="1">
        <v>200</v>
      </c>
      <c r="H22" s="4">
        <v>41520</v>
      </c>
      <c r="I22" s="5">
        <v>0.20833333333333334</v>
      </c>
      <c r="J22" s="4">
        <v>41719</v>
      </c>
      <c r="K22" s="5">
        <v>0.1623263888888889</v>
      </c>
      <c r="L22" s="3">
        <v>198.9</v>
      </c>
    </row>
    <row r="23" spans="1:12">
      <c r="A23" s="7" t="s">
        <v>764</v>
      </c>
      <c r="B23" s="2">
        <v>692</v>
      </c>
      <c r="C23" s="2" t="s">
        <v>530</v>
      </c>
      <c r="D23" s="20" t="s">
        <v>551</v>
      </c>
      <c r="E23" s="20" t="s">
        <v>552</v>
      </c>
      <c r="F23" s="6">
        <v>930</v>
      </c>
      <c r="G23" s="1">
        <v>320</v>
      </c>
      <c r="H23" s="4">
        <v>41435</v>
      </c>
      <c r="I23" s="5">
        <v>0.33333333333333331</v>
      </c>
      <c r="J23" s="4">
        <v>41528</v>
      </c>
      <c r="K23" s="5">
        <v>0.65957175925925926</v>
      </c>
      <c r="L23" s="3">
        <v>93</v>
      </c>
    </row>
    <row r="24" spans="1:12">
      <c r="A24" s="7" t="s">
        <v>838</v>
      </c>
      <c r="B24" s="2">
        <v>667</v>
      </c>
      <c r="C24" s="2" t="s">
        <v>530</v>
      </c>
      <c r="D24" s="20" t="s">
        <v>543</v>
      </c>
      <c r="E24" s="20" t="s">
        <v>544</v>
      </c>
      <c r="F24" s="20">
        <v>930</v>
      </c>
      <c r="G24" s="1">
        <v>200</v>
      </c>
      <c r="H24" s="4">
        <v>41528</v>
      </c>
      <c r="I24" s="5">
        <v>0.875</v>
      </c>
      <c r="J24" s="4">
        <v>41745</v>
      </c>
      <c r="K24" s="5">
        <v>0.99305555555555547</v>
      </c>
      <c r="L24" s="3">
        <v>217.1</v>
      </c>
    </row>
    <row r="25" spans="1:12">
      <c r="A25" s="7" t="s">
        <v>781</v>
      </c>
      <c r="B25" s="2">
        <v>709</v>
      </c>
      <c r="C25" s="2" t="s">
        <v>530</v>
      </c>
      <c r="D25" s="20" t="s">
        <v>559</v>
      </c>
      <c r="E25" s="20" t="s">
        <v>560</v>
      </c>
      <c r="F25" s="6">
        <v>900</v>
      </c>
      <c r="G25" s="1">
        <v>200</v>
      </c>
      <c r="H25" s="4">
        <v>41892</v>
      </c>
      <c r="I25" s="5">
        <v>0.75</v>
      </c>
      <c r="J25" s="4">
        <v>42126</v>
      </c>
      <c r="K25" s="5">
        <v>0.77899305555555554</v>
      </c>
      <c r="L25" s="3">
        <v>234</v>
      </c>
    </row>
    <row r="26" spans="1:12">
      <c r="A26" s="7" t="s">
        <v>759</v>
      </c>
      <c r="B26" s="2">
        <v>683</v>
      </c>
      <c r="C26" s="2" t="s">
        <v>530</v>
      </c>
      <c r="D26" s="20" t="s">
        <v>549</v>
      </c>
      <c r="E26" s="20" t="s">
        <v>550</v>
      </c>
      <c r="F26" s="6">
        <v>945</v>
      </c>
      <c r="G26" s="1">
        <v>200</v>
      </c>
      <c r="H26" s="4">
        <v>42126</v>
      </c>
      <c r="I26" s="5">
        <v>0.25</v>
      </c>
      <c r="J26" s="4">
        <v>42234</v>
      </c>
      <c r="K26" s="5">
        <v>0.76128472222222221</v>
      </c>
      <c r="L26" s="3">
        <v>108.5</v>
      </c>
    </row>
    <row r="27" spans="1:12">
      <c r="A27" s="7" t="s">
        <v>95</v>
      </c>
      <c r="B27" s="2">
        <v>589</v>
      </c>
      <c r="C27" s="2" t="s">
        <v>530</v>
      </c>
      <c r="D27" s="6" t="s">
        <v>96</v>
      </c>
      <c r="E27" s="6" t="s">
        <v>97</v>
      </c>
      <c r="F27" s="6">
        <v>600</v>
      </c>
      <c r="G27" s="1">
        <v>200</v>
      </c>
      <c r="H27" s="4">
        <v>40154</v>
      </c>
      <c r="I27" s="5">
        <v>0</v>
      </c>
      <c r="J27" s="4">
        <v>40316</v>
      </c>
      <c r="K27" s="5">
        <v>0.78263888888888899</v>
      </c>
      <c r="L27" s="3">
        <f>J27-H27</f>
        <v>162</v>
      </c>
    </row>
    <row r="28" spans="1:12">
      <c r="A28" s="7" t="s">
        <v>720</v>
      </c>
      <c r="B28" s="2">
        <v>602</v>
      </c>
      <c r="C28" s="2" t="s">
        <v>530</v>
      </c>
      <c r="D28" s="6" t="s">
        <v>98</v>
      </c>
      <c r="E28" s="6" t="s">
        <v>99</v>
      </c>
      <c r="F28" s="6">
        <v>260</v>
      </c>
      <c r="G28" s="1">
        <v>200</v>
      </c>
      <c r="H28" s="4">
        <v>40623</v>
      </c>
      <c r="I28" s="5">
        <v>0.79166666666666663</v>
      </c>
      <c r="J28" s="4">
        <v>40730</v>
      </c>
      <c r="K28" s="5">
        <v>8.3333333333333329E-2</v>
      </c>
      <c r="L28" s="3">
        <v>107</v>
      </c>
    </row>
    <row r="29" spans="1:12">
      <c r="A29" s="7" t="s">
        <v>669</v>
      </c>
      <c r="B29" s="2">
        <v>585</v>
      </c>
      <c r="C29" s="2" t="s">
        <v>530</v>
      </c>
      <c r="D29" s="6" t="s">
        <v>101</v>
      </c>
      <c r="E29" s="6" t="s">
        <v>102</v>
      </c>
      <c r="F29" s="6">
        <v>260</v>
      </c>
      <c r="G29" s="1">
        <v>200</v>
      </c>
      <c r="H29" s="4">
        <v>40971</v>
      </c>
      <c r="I29" s="5">
        <v>0</v>
      </c>
      <c r="J29" s="4">
        <v>41252</v>
      </c>
      <c r="K29" s="5">
        <v>0.42708333333333331</v>
      </c>
      <c r="L29" s="3">
        <v>282</v>
      </c>
    </row>
    <row r="30" spans="1:12">
      <c r="A30" s="7" t="s">
        <v>150</v>
      </c>
      <c r="B30" s="2">
        <v>822</v>
      </c>
      <c r="C30" s="2" t="s">
        <v>530</v>
      </c>
      <c r="D30" s="6" t="s">
        <v>151</v>
      </c>
      <c r="E30" s="6" t="s">
        <v>152</v>
      </c>
      <c r="F30" s="6">
        <v>265</v>
      </c>
      <c r="G30" s="1">
        <v>200</v>
      </c>
      <c r="H30" s="4">
        <v>42607</v>
      </c>
      <c r="I30" s="5">
        <v>0.75</v>
      </c>
      <c r="J30" s="4">
        <v>42934</v>
      </c>
      <c r="K30" s="5">
        <v>0.6893055555555555</v>
      </c>
      <c r="L30" s="3">
        <v>326.89999999999998</v>
      </c>
    </row>
    <row r="31" spans="1:12">
      <c r="A31" s="7" t="s">
        <v>153</v>
      </c>
      <c r="B31" s="2">
        <v>869</v>
      </c>
      <c r="C31" s="2" t="s">
        <v>530</v>
      </c>
      <c r="D31" s="6" t="s">
        <v>151</v>
      </c>
      <c r="E31" s="6" t="s">
        <v>100</v>
      </c>
      <c r="F31" s="6">
        <v>269</v>
      </c>
      <c r="G31" s="1">
        <v>200</v>
      </c>
      <c r="H31" s="4">
        <v>42933</v>
      </c>
      <c r="I31" s="5">
        <v>0</v>
      </c>
      <c r="J31" s="4">
        <v>43260</v>
      </c>
      <c r="K31" s="5">
        <v>3.0451388888888889E-2</v>
      </c>
      <c r="L31" s="3">
        <v>327</v>
      </c>
    </row>
    <row r="32" spans="1:12">
      <c r="A32" s="7" t="s">
        <v>687</v>
      </c>
      <c r="B32" s="2">
        <v>589</v>
      </c>
      <c r="C32" s="2" t="s">
        <v>530</v>
      </c>
      <c r="D32" s="6" t="s">
        <v>103</v>
      </c>
      <c r="E32" s="6" t="s">
        <v>104</v>
      </c>
      <c r="F32" s="6">
        <v>1320</v>
      </c>
      <c r="G32" s="1">
        <v>200</v>
      </c>
      <c r="H32" s="4">
        <v>40399</v>
      </c>
      <c r="I32" s="5">
        <v>0</v>
      </c>
      <c r="J32" s="4">
        <v>40477</v>
      </c>
      <c r="K32" s="5">
        <v>0.42098379629629629</v>
      </c>
      <c r="L32" s="3">
        <v>79</v>
      </c>
    </row>
    <row r="33" spans="1:12">
      <c r="A33" s="7" t="s">
        <v>688</v>
      </c>
      <c r="B33" s="2">
        <v>589</v>
      </c>
      <c r="C33" s="2" t="s">
        <v>530</v>
      </c>
      <c r="D33" s="6" t="s">
        <v>103</v>
      </c>
      <c r="E33" s="6" t="s">
        <v>104</v>
      </c>
      <c r="F33" s="6">
        <v>1320</v>
      </c>
      <c r="G33" s="1">
        <v>200</v>
      </c>
      <c r="H33" s="4">
        <v>40606</v>
      </c>
      <c r="I33" s="5">
        <v>0</v>
      </c>
      <c r="J33" s="4">
        <v>40718</v>
      </c>
      <c r="K33" s="5">
        <v>0.3515625</v>
      </c>
      <c r="L33" s="3">
        <v>111</v>
      </c>
    </row>
    <row r="34" spans="1:12">
      <c r="A34" s="7" t="s">
        <v>689</v>
      </c>
      <c r="B34" s="2">
        <v>589</v>
      </c>
      <c r="C34" s="2" t="s">
        <v>530</v>
      </c>
      <c r="D34" s="6" t="s">
        <v>105</v>
      </c>
      <c r="E34" s="6" t="s">
        <v>106</v>
      </c>
      <c r="F34" s="6">
        <v>1300</v>
      </c>
      <c r="G34" s="1">
        <v>200</v>
      </c>
      <c r="H34" s="4">
        <v>40737</v>
      </c>
      <c r="I34" s="5">
        <v>0</v>
      </c>
      <c r="J34" s="4">
        <v>40861</v>
      </c>
      <c r="K34" s="5">
        <v>0.4201388888888889</v>
      </c>
      <c r="L34" s="3">
        <v>124</v>
      </c>
    </row>
    <row r="35" spans="1:12">
      <c r="A35" s="7" t="s">
        <v>107</v>
      </c>
      <c r="B35" s="2">
        <v>715</v>
      </c>
      <c r="C35" s="2" t="s">
        <v>530</v>
      </c>
      <c r="D35" s="6" t="s">
        <v>108</v>
      </c>
      <c r="E35" s="6" t="s">
        <v>109</v>
      </c>
      <c r="F35" s="6">
        <v>1240</v>
      </c>
      <c r="G35" s="1">
        <v>200</v>
      </c>
      <c r="H35" s="4">
        <v>42218</v>
      </c>
      <c r="I35" s="5">
        <v>0.70833333333333337</v>
      </c>
      <c r="J35" s="4">
        <v>42444</v>
      </c>
      <c r="K35" s="5">
        <v>0.80388888888888888</v>
      </c>
      <c r="L35" s="3">
        <v>226.1</v>
      </c>
    </row>
    <row r="36" spans="1:12">
      <c r="A36" s="7" t="s">
        <v>110</v>
      </c>
      <c r="B36" s="2">
        <v>807</v>
      </c>
      <c r="C36" s="2" t="s">
        <v>530</v>
      </c>
      <c r="D36" s="6" t="s">
        <v>111</v>
      </c>
      <c r="E36" s="6" t="s">
        <v>112</v>
      </c>
      <c r="F36" s="6">
        <v>1210</v>
      </c>
      <c r="G36" s="1">
        <v>200</v>
      </c>
      <c r="H36" s="4">
        <v>42543</v>
      </c>
      <c r="I36" s="5">
        <v>0</v>
      </c>
      <c r="J36" s="4">
        <v>42934</v>
      </c>
      <c r="K36" s="5">
        <v>0.68583333333333341</v>
      </c>
      <c r="L36" s="3">
        <v>391.7</v>
      </c>
    </row>
    <row r="37" spans="1:12">
      <c r="A37" s="7" t="s">
        <v>113</v>
      </c>
      <c r="B37" s="2">
        <v>868</v>
      </c>
      <c r="C37" s="2" t="s">
        <v>530</v>
      </c>
      <c r="D37" s="6" t="s">
        <v>114</v>
      </c>
      <c r="E37" s="6" t="s">
        <v>115</v>
      </c>
      <c r="F37" s="6">
        <v>1190</v>
      </c>
      <c r="G37" s="1">
        <v>200</v>
      </c>
      <c r="H37" s="4">
        <v>42933</v>
      </c>
      <c r="I37" s="5">
        <v>0</v>
      </c>
      <c r="J37" s="4">
        <v>43278</v>
      </c>
      <c r="K37" s="5">
        <v>0.5799305555555555</v>
      </c>
      <c r="L37" s="3">
        <v>345.6</v>
      </c>
    </row>
    <row r="38" spans="1:12">
      <c r="A38" s="7" t="s">
        <v>709</v>
      </c>
      <c r="B38" s="2">
        <v>601</v>
      </c>
      <c r="D38" s="1" t="s">
        <v>713</v>
      </c>
      <c r="E38" s="1" t="s">
        <v>714</v>
      </c>
      <c r="F38" s="1">
        <v>1115</v>
      </c>
      <c r="H38" s="4">
        <v>40374</v>
      </c>
      <c r="I38" s="5"/>
      <c r="J38" s="4">
        <v>40462</v>
      </c>
      <c r="K38" s="5"/>
      <c r="L38" s="1">
        <v>88</v>
      </c>
    </row>
    <row r="39" spans="1:12">
      <c r="A39" s="7" t="s">
        <v>710</v>
      </c>
      <c r="B39" s="2">
        <v>601</v>
      </c>
      <c r="D39" s="1" t="s">
        <v>715</v>
      </c>
      <c r="E39" s="1" t="s">
        <v>716</v>
      </c>
      <c r="F39" s="1">
        <v>1160</v>
      </c>
      <c r="H39" s="4">
        <v>40490</v>
      </c>
      <c r="I39" s="5"/>
      <c r="J39" s="4">
        <v>40576</v>
      </c>
      <c r="K39" s="5"/>
      <c r="L39" s="1">
        <v>86</v>
      </c>
    </row>
    <row r="40" spans="1:12">
      <c r="A40" s="7" t="s">
        <v>711</v>
      </c>
      <c r="B40" s="2">
        <v>601</v>
      </c>
      <c r="D40" s="1" t="s">
        <v>717</v>
      </c>
      <c r="E40" s="1" t="s">
        <v>116</v>
      </c>
      <c r="F40" s="1">
        <v>1100</v>
      </c>
      <c r="H40" s="4">
        <v>40625</v>
      </c>
      <c r="I40" s="5"/>
      <c r="J40" s="4">
        <v>40763</v>
      </c>
      <c r="K40" s="5"/>
      <c r="L40" s="1">
        <v>138</v>
      </c>
    </row>
    <row r="41" spans="1:12">
      <c r="A41" s="7" t="s">
        <v>712</v>
      </c>
      <c r="B41" s="2">
        <v>601</v>
      </c>
      <c r="D41" s="1" t="s">
        <v>718</v>
      </c>
      <c r="E41" s="1" t="s">
        <v>719</v>
      </c>
      <c r="F41" s="1">
        <v>1100</v>
      </c>
      <c r="H41" s="4">
        <v>40809</v>
      </c>
      <c r="I41" s="5"/>
      <c r="J41" s="4">
        <v>40956</v>
      </c>
      <c r="K41" s="5"/>
      <c r="L41" s="1">
        <v>118</v>
      </c>
    </row>
    <row r="42" spans="1:12">
      <c r="A42" s="7" t="s">
        <v>745</v>
      </c>
      <c r="B42" s="2">
        <v>656</v>
      </c>
      <c r="C42" s="1" t="s">
        <v>587</v>
      </c>
      <c r="D42" s="1" t="s">
        <v>746</v>
      </c>
      <c r="E42" s="1" t="s">
        <v>747</v>
      </c>
      <c r="F42" s="1">
        <v>1100</v>
      </c>
      <c r="H42" s="4">
        <v>40967</v>
      </c>
      <c r="I42" s="5"/>
      <c r="J42" s="4">
        <v>41255</v>
      </c>
      <c r="K42" s="5"/>
      <c r="L42" s="3">
        <v>289</v>
      </c>
    </row>
    <row r="43" spans="1:12">
      <c r="A43" s="7" t="s">
        <v>766</v>
      </c>
      <c r="B43" s="2">
        <v>694</v>
      </c>
      <c r="C43" s="2" t="s">
        <v>530</v>
      </c>
      <c r="D43" s="6" t="s">
        <v>117</v>
      </c>
      <c r="E43" s="6" t="s">
        <v>118</v>
      </c>
      <c r="F43" s="6">
        <v>1100</v>
      </c>
      <c r="G43" s="1">
        <v>200</v>
      </c>
      <c r="H43" s="4">
        <v>41256</v>
      </c>
      <c r="I43" s="5">
        <v>0.5</v>
      </c>
      <c r="J43" s="4">
        <v>41527</v>
      </c>
      <c r="K43" s="5">
        <v>0.77690972222222221</v>
      </c>
      <c r="L43" s="3">
        <v>271</v>
      </c>
    </row>
    <row r="44" spans="1:12">
      <c r="A44" s="7" t="s">
        <v>767</v>
      </c>
      <c r="B44" s="2">
        <v>694</v>
      </c>
      <c r="C44" s="2" t="s">
        <v>530</v>
      </c>
      <c r="D44" s="6" t="s">
        <v>117</v>
      </c>
      <c r="E44" s="6" t="s">
        <v>118</v>
      </c>
      <c r="F44" s="6">
        <v>1100</v>
      </c>
      <c r="G44" s="1">
        <v>200</v>
      </c>
      <c r="H44" s="4">
        <v>41652</v>
      </c>
      <c r="I44" s="5">
        <v>0.75</v>
      </c>
      <c r="J44" s="4">
        <v>41911</v>
      </c>
      <c r="K44" s="5">
        <v>0.93163194444444442</v>
      </c>
      <c r="L44" s="3">
        <v>254.2</v>
      </c>
    </row>
    <row r="45" spans="1:12">
      <c r="A45" s="7" t="s">
        <v>792</v>
      </c>
      <c r="B45" s="2">
        <v>719</v>
      </c>
      <c r="C45" s="2" t="s">
        <v>530</v>
      </c>
      <c r="D45" s="6" t="s">
        <v>119</v>
      </c>
      <c r="E45" s="6" t="s">
        <v>116</v>
      </c>
      <c r="F45" s="6">
        <v>1100</v>
      </c>
      <c r="G45" s="1">
        <v>200</v>
      </c>
      <c r="H45" s="4">
        <v>41931</v>
      </c>
      <c r="I45" s="5">
        <v>0.41927083333333331</v>
      </c>
      <c r="J45" s="4">
        <v>42165</v>
      </c>
      <c r="K45" s="5">
        <v>5.7905092592592598E-2</v>
      </c>
      <c r="L45" s="3">
        <v>233.6</v>
      </c>
    </row>
    <row r="46" spans="1:12">
      <c r="A46" s="7" t="s">
        <v>154</v>
      </c>
      <c r="B46" s="2">
        <v>718</v>
      </c>
      <c r="C46" s="2" t="s">
        <v>530</v>
      </c>
      <c r="D46" s="6" t="s">
        <v>155</v>
      </c>
      <c r="E46" s="6" t="s">
        <v>156</v>
      </c>
      <c r="F46" s="6">
        <v>1133</v>
      </c>
      <c r="G46" s="1">
        <v>200</v>
      </c>
      <c r="H46" s="4">
        <v>42223</v>
      </c>
      <c r="I46" s="5">
        <v>0.75</v>
      </c>
      <c r="J46" s="4">
        <v>42513</v>
      </c>
      <c r="K46" s="5">
        <v>0.13541666666666666</v>
      </c>
      <c r="L46" s="3">
        <v>289.39999999999998</v>
      </c>
    </row>
    <row r="47" spans="1:12">
      <c r="A47" s="7" t="s">
        <v>157</v>
      </c>
      <c r="B47" s="2">
        <v>809</v>
      </c>
      <c r="C47" s="2" t="s">
        <v>530</v>
      </c>
      <c r="D47" s="6" t="s">
        <v>158</v>
      </c>
      <c r="E47" s="6" t="s">
        <v>159</v>
      </c>
      <c r="F47" s="6">
        <v>1129</v>
      </c>
      <c r="G47" s="1">
        <v>200</v>
      </c>
      <c r="H47" s="4">
        <v>42571</v>
      </c>
      <c r="I47" s="5">
        <v>0</v>
      </c>
      <c r="J47" s="4">
        <v>42872</v>
      </c>
      <c r="K47" s="5">
        <v>6.7777777777777784E-2</v>
      </c>
      <c r="L47" s="3">
        <v>301.10000000000002</v>
      </c>
    </row>
    <row r="48" spans="1:12">
      <c r="A48" s="7" t="s">
        <v>160</v>
      </c>
      <c r="B48" s="2">
        <v>717</v>
      </c>
      <c r="C48" s="2" t="s">
        <v>530</v>
      </c>
      <c r="D48" s="6" t="s">
        <v>161</v>
      </c>
      <c r="E48" s="6" t="s">
        <v>162</v>
      </c>
      <c r="F48" s="6">
        <v>1100</v>
      </c>
      <c r="G48" s="1">
        <v>200</v>
      </c>
      <c r="H48" s="4">
        <v>42871</v>
      </c>
      <c r="I48" s="5">
        <v>0.25047453703703704</v>
      </c>
      <c r="J48" s="4">
        <v>43221</v>
      </c>
      <c r="K48" s="5">
        <v>0.86687499999999995</v>
      </c>
      <c r="L48" s="3">
        <v>350.6</v>
      </c>
    </row>
    <row r="49" spans="1:12">
      <c r="A49" s="1" t="s">
        <v>638</v>
      </c>
      <c r="B49" s="2">
        <v>560</v>
      </c>
      <c r="C49" s="28" t="s">
        <v>530</v>
      </c>
      <c r="D49" s="6" t="s">
        <v>120</v>
      </c>
      <c r="E49" s="6" t="s">
        <v>121</v>
      </c>
      <c r="F49" s="6">
        <v>1050</v>
      </c>
      <c r="G49" s="1">
        <v>200</v>
      </c>
      <c r="H49" s="4">
        <v>41056</v>
      </c>
      <c r="I49" s="5">
        <v>1.8055555555555557E-3</v>
      </c>
      <c r="J49" s="4">
        <v>41249</v>
      </c>
      <c r="K49" s="5">
        <v>0.93402777777777779</v>
      </c>
      <c r="L49" s="3">
        <v>194</v>
      </c>
    </row>
    <row r="50" spans="1:12">
      <c r="A50" s="1" t="s">
        <v>639</v>
      </c>
      <c r="B50" s="2">
        <v>560</v>
      </c>
      <c r="C50" s="28" t="s">
        <v>530</v>
      </c>
      <c r="D50" s="6" t="s">
        <v>122</v>
      </c>
      <c r="E50" s="6" t="s">
        <v>123</v>
      </c>
      <c r="F50" s="6">
        <v>1067</v>
      </c>
      <c r="G50" s="1">
        <v>200</v>
      </c>
      <c r="H50" s="4">
        <v>41910</v>
      </c>
      <c r="I50" s="5">
        <v>0.41666666666666669</v>
      </c>
      <c r="J50" s="4">
        <v>42199</v>
      </c>
      <c r="K50" s="5">
        <v>0.79253472222222221</v>
      </c>
      <c r="L50" s="3">
        <v>289.39999999999998</v>
      </c>
    </row>
    <row r="51" spans="1:12">
      <c r="A51" s="7" t="s">
        <v>670</v>
      </c>
      <c r="B51" s="2">
        <v>585</v>
      </c>
      <c r="C51" s="2" t="s">
        <v>530</v>
      </c>
      <c r="D51" s="6" t="s">
        <v>124</v>
      </c>
      <c r="E51" s="6" t="s">
        <v>125</v>
      </c>
      <c r="F51" s="6">
        <v>980</v>
      </c>
      <c r="G51" s="1">
        <v>200</v>
      </c>
      <c r="H51" s="4">
        <v>40314</v>
      </c>
      <c r="I51" s="5">
        <v>0</v>
      </c>
      <c r="J51" s="4">
        <v>40418</v>
      </c>
      <c r="K51" s="5">
        <v>0.80121527777777779</v>
      </c>
      <c r="L51" s="3">
        <v>104</v>
      </c>
    </row>
    <row r="52" spans="1:12">
      <c r="A52" s="7" t="s">
        <v>671</v>
      </c>
      <c r="B52" s="2">
        <v>585</v>
      </c>
      <c r="C52" s="2" t="s">
        <v>530</v>
      </c>
      <c r="D52" s="6" t="s">
        <v>126</v>
      </c>
      <c r="E52" s="6" t="s">
        <v>127</v>
      </c>
      <c r="F52" s="6">
        <v>980</v>
      </c>
      <c r="G52" s="1">
        <v>200</v>
      </c>
      <c r="H52" s="4">
        <v>40428</v>
      </c>
      <c r="I52" s="5">
        <v>0</v>
      </c>
      <c r="J52" s="4">
        <v>40531</v>
      </c>
      <c r="K52" s="5">
        <v>0.79861111111111116</v>
      </c>
      <c r="L52" s="3">
        <v>103</v>
      </c>
    </row>
    <row r="53" spans="1:12">
      <c r="A53" s="7" t="s">
        <v>677</v>
      </c>
      <c r="B53" s="2">
        <v>585</v>
      </c>
      <c r="C53" s="2" t="s">
        <v>530</v>
      </c>
      <c r="D53" s="6" t="s">
        <v>128</v>
      </c>
      <c r="E53" s="6" t="s">
        <v>129</v>
      </c>
      <c r="F53" s="6">
        <v>980</v>
      </c>
      <c r="G53" s="1">
        <v>200</v>
      </c>
      <c r="H53" s="4">
        <v>40532</v>
      </c>
      <c r="I53" s="5">
        <v>0.41666666666666669</v>
      </c>
      <c r="J53" s="4">
        <v>40623</v>
      </c>
      <c r="K53" s="5">
        <v>0.6171875</v>
      </c>
      <c r="L53" s="3">
        <v>91</v>
      </c>
    </row>
    <row r="54" spans="1:12">
      <c r="A54" s="7" t="s">
        <v>678</v>
      </c>
      <c r="B54" s="2">
        <v>585</v>
      </c>
      <c r="C54" s="2" t="s">
        <v>530</v>
      </c>
      <c r="D54" s="6" t="s">
        <v>130</v>
      </c>
      <c r="E54" s="6" t="s">
        <v>131</v>
      </c>
      <c r="F54" s="6">
        <v>980</v>
      </c>
      <c r="G54" s="1">
        <v>200</v>
      </c>
      <c r="H54" s="4">
        <v>40808</v>
      </c>
      <c r="I54" s="5">
        <v>0.54166666666666663</v>
      </c>
      <c r="J54" s="4">
        <v>40960</v>
      </c>
      <c r="K54" s="5">
        <v>0.60754629629629631</v>
      </c>
      <c r="L54" s="3">
        <v>152</v>
      </c>
    </row>
    <row r="55" spans="1:12">
      <c r="A55" s="7" t="s">
        <v>740</v>
      </c>
      <c r="B55" s="2">
        <v>651</v>
      </c>
      <c r="C55" s="2" t="s">
        <v>530</v>
      </c>
      <c r="D55" s="6" t="s">
        <v>132</v>
      </c>
      <c r="E55" s="6" t="s">
        <v>133</v>
      </c>
      <c r="F55" s="6">
        <v>980</v>
      </c>
      <c r="G55" s="1">
        <v>200</v>
      </c>
      <c r="H55" s="4">
        <v>40967</v>
      </c>
      <c r="I55" s="5">
        <v>0.234375</v>
      </c>
      <c r="J55" s="4">
        <v>41254</v>
      </c>
      <c r="K55" s="5">
        <v>0.1015625</v>
      </c>
      <c r="L55" s="3">
        <v>288</v>
      </c>
    </row>
    <row r="56" spans="1:12">
      <c r="A56" s="7" t="s">
        <v>801</v>
      </c>
      <c r="B56" s="2">
        <v>728</v>
      </c>
      <c r="C56" s="2" t="s">
        <v>530</v>
      </c>
      <c r="D56" s="6" t="s">
        <v>163</v>
      </c>
      <c r="E56" s="6" t="s">
        <v>164</v>
      </c>
      <c r="F56" s="6">
        <v>990</v>
      </c>
      <c r="G56" s="1">
        <v>200</v>
      </c>
      <c r="H56" s="4">
        <v>42872</v>
      </c>
      <c r="I56" s="1" t="s">
        <v>578</v>
      </c>
      <c r="J56" s="4">
        <v>43173</v>
      </c>
      <c r="K56" s="1" t="s">
        <v>579</v>
      </c>
      <c r="L56" s="3">
        <v>301.10000000000002</v>
      </c>
    </row>
    <row r="57" spans="1:12">
      <c r="A57" s="7" t="s">
        <v>802</v>
      </c>
      <c r="B57" s="2">
        <v>729</v>
      </c>
      <c r="C57" s="2" t="s">
        <v>530</v>
      </c>
      <c r="D57" s="6" t="s">
        <v>134</v>
      </c>
      <c r="E57" s="6" t="s">
        <v>135</v>
      </c>
      <c r="F57" s="6">
        <v>800</v>
      </c>
      <c r="G57" s="1">
        <v>200</v>
      </c>
      <c r="H57" s="4">
        <v>41752</v>
      </c>
      <c r="I57" s="5">
        <v>0</v>
      </c>
      <c r="J57" s="4">
        <v>41910</v>
      </c>
      <c r="K57" s="5">
        <v>0.97135416666666663</v>
      </c>
      <c r="L57" s="3">
        <v>159</v>
      </c>
    </row>
    <row r="58" spans="1:12">
      <c r="A58" s="7" t="s">
        <v>789</v>
      </c>
      <c r="B58" s="2">
        <v>718</v>
      </c>
      <c r="C58" s="2" t="s">
        <v>530</v>
      </c>
      <c r="D58" s="6" t="s">
        <v>136</v>
      </c>
      <c r="E58" s="6" t="s">
        <v>137</v>
      </c>
      <c r="F58" s="6">
        <v>800</v>
      </c>
      <c r="G58" s="1">
        <v>200</v>
      </c>
      <c r="H58" s="4">
        <v>41911</v>
      </c>
      <c r="I58" s="5">
        <v>0.25</v>
      </c>
      <c r="J58" s="4">
        <v>42200</v>
      </c>
      <c r="K58" s="5">
        <v>0.59201388888888895</v>
      </c>
      <c r="L58" s="3">
        <v>289.3</v>
      </c>
    </row>
    <row r="59" spans="1:12">
      <c r="A59" s="7" t="s">
        <v>654</v>
      </c>
      <c r="B59" s="2">
        <v>578</v>
      </c>
      <c r="C59" s="2" t="s">
        <v>530</v>
      </c>
      <c r="D59" s="6" t="s">
        <v>138</v>
      </c>
      <c r="E59" s="6" t="s">
        <v>139</v>
      </c>
      <c r="F59" s="6">
        <v>86</v>
      </c>
      <c r="G59" s="1">
        <v>200</v>
      </c>
      <c r="H59" s="4">
        <v>40363</v>
      </c>
      <c r="I59" s="5">
        <v>0</v>
      </c>
      <c r="J59" s="4">
        <v>40446</v>
      </c>
      <c r="K59" s="5">
        <v>0.61631944444444442</v>
      </c>
      <c r="L59" s="3">
        <v>83</v>
      </c>
    </row>
    <row r="60" spans="1:12">
      <c r="A60" s="7" t="s">
        <v>701</v>
      </c>
      <c r="B60" s="2">
        <v>596</v>
      </c>
      <c r="C60" s="2" t="s">
        <v>530</v>
      </c>
      <c r="D60" s="6" t="s">
        <v>140</v>
      </c>
      <c r="E60" s="6" t="s">
        <v>141</v>
      </c>
      <c r="F60" s="6">
        <v>93</v>
      </c>
      <c r="G60" s="1">
        <v>200</v>
      </c>
      <c r="H60" s="4">
        <v>40625</v>
      </c>
      <c r="I60" s="5">
        <v>0</v>
      </c>
      <c r="J60" s="4">
        <v>40792</v>
      </c>
      <c r="K60" s="5">
        <v>0.31684027777777779</v>
      </c>
      <c r="L60" s="3">
        <v>167</v>
      </c>
    </row>
    <row r="61" spans="1:12">
      <c r="A61" s="7" t="s">
        <v>702</v>
      </c>
      <c r="B61" s="2">
        <v>596</v>
      </c>
      <c r="C61" s="2" t="s">
        <v>530</v>
      </c>
      <c r="D61" s="6" t="s">
        <v>142</v>
      </c>
      <c r="E61" s="6" t="s">
        <v>143</v>
      </c>
      <c r="F61" s="6">
        <v>93</v>
      </c>
      <c r="G61" s="1">
        <v>200</v>
      </c>
      <c r="H61" s="4">
        <v>40808</v>
      </c>
      <c r="I61" s="5">
        <v>0.16666666666666666</v>
      </c>
      <c r="J61" s="4">
        <v>40969</v>
      </c>
      <c r="K61" s="5">
        <v>0.95659722222222221</v>
      </c>
      <c r="L61" s="3">
        <v>161</v>
      </c>
    </row>
    <row r="62" spans="1:12">
      <c r="A62" s="7" t="s">
        <v>744</v>
      </c>
      <c r="B62" s="2">
        <v>652</v>
      </c>
      <c r="C62" s="2" t="s">
        <v>530</v>
      </c>
      <c r="D62" s="6" t="s">
        <v>144</v>
      </c>
      <c r="E62" s="6" t="s">
        <v>145</v>
      </c>
      <c r="F62" s="6">
        <v>90</v>
      </c>
      <c r="G62" s="1">
        <v>200</v>
      </c>
      <c r="H62" s="4">
        <v>40968</v>
      </c>
      <c r="I62" s="5">
        <v>0.125</v>
      </c>
      <c r="J62" s="4">
        <v>41237</v>
      </c>
      <c r="K62" s="5">
        <v>0.22013888888888888</v>
      </c>
      <c r="L62" s="3">
        <v>270</v>
      </c>
    </row>
    <row r="63" spans="1:12">
      <c r="A63" s="7" t="s">
        <v>760</v>
      </c>
      <c r="B63" s="2">
        <v>683</v>
      </c>
      <c r="C63" s="2" t="s">
        <v>530</v>
      </c>
      <c r="D63" s="6" t="s">
        <v>146</v>
      </c>
      <c r="E63" s="6" t="s">
        <v>147</v>
      </c>
      <c r="F63" s="6">
        <v>90</v>
      </c>
      <c r="G63" s="1">
        <v>200</v>
      </c>
      <c r="H63" s="4">
        <v>41253</v>
      </c>
      <c r="I63" s="5">
        <v>0.95833333333333337</v>
      </c>
      <c r="J63" s="4">
        <v>41542</v>
      </c>
      <c r="K63" s="5">
        <v>0.81336805555555547</v>
      </c>
      <c r="L63" s="3">
        <v>289</v>
      </c>
    </row>
    <row r="64" spans="1:12">
      <c r="A64" s="7" t="s">
        <v>803</v>
      </c>
      <c r="B64" s="2">
        <v>729</v>
      </c>
      <c r="C64" s="2" t="s">
        <v>530</v>
      </c>
      <c r="D64" s="6" t="s">
        <v>148</v>
      </c>
      <c r="E64" s="6" t="s">
        <v>149</v>
      </c>
      <c r="F64" s="6">
        <v>100</v>
      </c>
      <c r="G64" s="1">
        <v>200</v>
      </c>
      <c r="H64" s="4">
        <v>41914</v>
      </c>
      <c r="I64" s="5">
        <v>0.33333333333333331</v>
      </c>
      <c r="J64" s="4">
        <v>42131</v>
      </c>
      <c r="K64" s="5">
        <v>0.28645833333333331</v>
      </c>
      <c r="L64" s="3">
        <v>217</v>
      </c>
    </row>
    <row r="65" spans="1:12">
      <c r="A65" s="7" t="s">
        <v>165</v>
      </c>
      <c r="B65" s="2">
        <v>719</v>
      </c>
      <c r="C65" s="2" t="s">
        <v>530</v>
      </c>
      <c r="D65" s="6" t="s">
        <v>166</v>
      </c>
      <c r="E65" s="6" t="s">
        <v>167</v>
      </c>
      <c r="F65" s="6">
        <v>90</v>
      </c>
      <c r="G65" s="1">
        <v>200</v>
      </c>
      <c r="H65" s="4">
        <v>42225</v>
      </c>
      <c r="I65" s="5">
        <v>0</v>
      </c>
      <c r="J65" s="4">
        <v>42494</v>
      </c>
      <c r="K65" s="5">
        <v>0.30017361111111113</v>
      </c>
      <c r="L65" s="3">
        <v>269.3</v>
      </c>
    </row>
    <row r="66" spans="1:12">
      <c r="A66" s="7" t="s">
        <v>168</v>
      </c>
      <c r="B66" s="2">
        <v>731</v>
      </c>
      <c r="C66" s="2" t="s">
        <v>530</v>
      </c>
      <c r="D66" s="6" t="s">
        <v>169</v>
      </c>
      <c r="E66" s="6" t="s">
        <v>170</v>
      </c>
      <c r="F66" s="6">
        <v>120</v>
      </c>
      <c r="G66" s="1">
        <v>200</v>
      </c>
      <c r="H66" s="4">
        <v>42872</v>
      </c>
      <c r="I66" s="5">
        <v>0</v>
      </c>
      <c r="J66" s="4">
        <v>43249</v>
      </c>
      <c r="K66" s="5">
        <v>0.67281250000000004</v>
      </c>
      <c r="L66" s="3">
        <v>377.7</v>
      </c>
    </row>
    <row r="67" spans="1:12">
      <c r="A67" s="7" t="s">
        <v>647</v>
      </c>
      <c r="B67" s="2">
        <v>564</v>
      </c>
      <c r="C67" s="2" t="s">
        <v>530</v>
      </c>
      <c r="D67" s="6" t="s">
        <v>88</v>
      </c>
      <c r="E67" s="6" t="s">
        <v>89</v>
      </c>
      <c r="F67" s="6">
        <v>1266</v>
      </c>
      <c r="G67" s="1">
        <v>200</v>
      </c>
      <c r="H67" s="4">
        <v>40974</v>
      </c>
      <c r="I67" s="5">
        <v>0</v>
      </c>
      <c r="J67" s="4">
        <v>41077</v>
      </c>
      <c r="K67" s="5">
        <v>0.23263888888888887</v>
      </c>
      <c r="L67" s="3">
        <v>103</v>
      </c>
    </row>
    <row r="68" spans="1:12">
      <c r="A68" s="7" t="s">
        <v>753</v>
      </c>
      <c r="B68" s="2">
        <v>675</v>
      </c>
      <c r="D68" s="25" t="s">
        <v>776</v>
      </c>
      <c r="E68" s="25" t="s">
        <v>775</v>
      </c>
      <c r="F68" s="25">
        <v>780</v>
      </c>
      <c r="G68" s="1" t="s">
        <v>775</v>
      </c>
      <c r="H68" s="26">
        <v>42845</v>
      </c>
      <c r="I68" s="5"/>
      <c r="J68" s="26">
        <v>43128</v>
      </c>
      <c r="K68" s="5"/>
      <c r="L68" s="3">
        <v>283</v>
      </c>
    </row>
    <row r="69" spans="1:12">
      <c r="A69" s="7" t="s">
        <v>648</v>
      </c>
      <c r="B69" s="2">
        <v>564</v>
      </c>
      <c r="C69" s="2" t="s">
        <v>530</v>
      </c>
      <c r="D69" s="6" t="s">
        <v>196</v>
      </c>
      <c r="E69" s="6" t="s">
        <v>197</v>
      </c>
      <c r="F69" s="6">
        <v>706</v>
      </c>
      <c r="G69" s="1">
        <v>200</v>
      </c>
      <c r="H69" s="4">
        <v>40094</v>
      </c>
      <c r="I69" s="5">
        <v>0</v>
      </c>
      <c r="J69" s="4">
        <v>40311</v>
      </c>
      <c r="K69" s="5">
        <v>4.1666666666666664E-2</v>
      </c>
      <c r="L69" s="3">
        <v>218</v>
      </c>
    </row>
    <row r="70" spans="1:12">
      <c r="A70" s="7" t="s">
        <v>694</v>
      </c>
      <c r="B70" s="2">
        <v>593</v>
      </c>
      <c r="C70" s="2" t="s">
        <v>530</v>
      </c>
      <c r="D70" s="6" t="s">
        <v>198</v>
      </c>
      <c r="E70" s="6" t="s">
        <v>199</v>
      </c>
      <c r="F70" s="6">
        <v>720</v>
      </c>
      <c r="G70" s="1">
        <v>200</v>
      </c>
      <c r="H70" s="4">
        <v>40333</v>
      </c>
      <c r="I70" s="5">
        <v>0</v>
      </c>
      <c r="J70" s="4">
        <v>40410</v>
      </c>
      <c r="K70" s="5">
        <v>7.1527777777777787E-2</v>
      </c>
      <c r="L70" s="3">
        <v>78</v>
      </c>
    </row>
    <row r="71" spans="1:12">
      <c r="A71" s="7" t="s">
        <v>809</v>
      </c>
      <c r="B71" s="2">
        <v>736</v>
      </c>
      <c r="C71" s="2" t="s">
        <v>530</v>
      </c>
      <c r="D71" s="6" t="s">
        <v>200</v>
      </c>
      <c r="E71" s="6" t="s">
        <v>201</v>
      </c>
      <c r="F71" s="6">
        <v>717</v>
      </c>
      <c r="G71" s="1">
        <v>200</v>
      </c>
      <c r="H71" s="4">
        <v>42560</v>
      </c>
      <c r="I71" s="5">
        <v>0</v>
      </c>
      <c r="J71" s="4">
        <v>42956</v>
      </c>
      <c r="K71" s="5">
        <v>4.0451388888888891E-2</v>
      </c>
      <c r="L71" s="3">
        <v>396</v>
      </c>
    </row>
    <row r="72" spans="1:12">
      <c r="A72" s="7" t="s">
        <v>695</v>
      </c>
      <c r="B72" s="2">
        <v>593</v>
      </c>
      <c r="C72" s="2" t="s">
        <v>530</v>
      </c>
      <c r="D72" s="6" t="s">
        <v>202</v>
      </c>
      <c r="E72" s="6" t="s">
        <v>203</v>
      </c>
      <c r="F72" s="6">
        <v>859</v>
      </c>
      <c r="G72" s="1">
        <v>200</v>
      </c>
      <c r="H72" s="4">
        <v>40836</v>
      </c>
      <c r="I72" s="5">
        <v>0</v>
      </c>
      <c r="J72" s="4">
        <v>40979</v>
      </c>
      <c r="K72" s="5">
        <v>0.27958333333333335</v>
      </c>
      <c r="L72" s="3">
        <v>144</v>
      </c>
    </row>
    <row r="73" spans="1:12">
      <c r="A73" s="7" t="s">
        <v>770</v>
      </c>
      <c r="B73" s="2">
        <v>695</v>
      </c>
      <c r="C73" s="2" t="s">
        <v>530</v>
      </c>
      <c r="D73" s="6" t="s">
        <v>223</v>
      </c>
      <c r="E73" s="6" t="s">
        <v>224</v>
      </c>
      <c r="F73" s="6">
        <v>830</v>
      </c>
      <c r="G73" s="1">
        <v>200</v>
      </c>
      <c r="H73" s="4">
        <v>42149</v>
      </c>
      <c r="I73" s="5">
        <v>0</v>
      </c>
      <c r="J73" s="4">
        <v>42836</v>
      </c>
      <c r="K73" s="5">
        <v>0.54427083333333337</v>
      </c>
      <c r="L73" s="3">
        <v>687.5</v>
      </c>
    </row>
    <row r="74" spans="1:12">
      <c r="A74" s="7" t="s">
        <v>839</v>
      </c>
      <c r="B74" s="2">
        <v>487</v>
      </c>
      <c r="C74" s="2" t="s">
        <v>530</v>
      </c>
      <c r="D74" s="6" t="s">
        <v>225</v>
      </c>
      <c r="E74" s="6" t="s">
        <v>226</v>
      </c>
      <c r="F74" s="6">
        <v>753</v>
      </c>
      <c r="G74" s="1">
        <v>200</v>
      </c>
      <c r="H74" s="4">
        <v>40106</v>
      </c>
      <c r="I74" s="5">
        <v>0</v>
      </c>
      <c r="J74" s="4">
        <v>40322</v>
      </c>
      <c r="K74" s="5">
        <v>2.9513888888888892E-2</v>
      </c>
      <c r="L74" s="3">
        <v>217</v>
      </c>
    </row>
    <row r="75" spans="1:12">
      <c r="A75" s="7" t="s">
        <v>700</v>
      </c>
      <c r="B75" s="2">
        <v>595</v>
      </c>
      <c r="C75" s="2" t="s">
        <v>530</v>
      </c>
      <c r="D75" s="6" t="s">
        <v>227</v>
      </c>
      <c r="E75" s="6" t="s">
        <v>228</v>
      </c>
      <c r="F75" s="6">
        <v>752</v>
      </c>
      <c r="G75" s="1">
        <v>200</v>
      </c>
      <c r="H75" s="4">
        <v>40330</v>
      </c>
      <c r="I75" s="5">
        <v>0</v>
      </c>
      <c r="J75" s="4">
        <v>40438</v>
      </c>
      <c r="K75" s="5">
        <v>0.50694444444444442</v>
      </c>
      <c r="L75" s="3">
        <v>108</v>
      </c>
    </row>
    <row r="76" spans="1:12">
      <c r="A76" s="7" t="s">
        <v>696</v>
      </c>
      <c r="B76" s="2">
        <v>593</v>
      </c>
      <c r="C76" s="2" t="s">
        <v>530</v>
      </c>
      <c r="D76" s="6" t="s">
        <v>229</v>
      </c>
      <c r="E76" s="6" t="s">
        <v>230</v>
      </c>
      <c r="F76" s="6">
        <v>550</v>
      </c>
      <c r="G76" s="1">
        <v>200</v>
      </c>
      <c r="H76" s="4">
        <v>40645</v>
      </c>
      <c r="I76" s="5">
        <v>0</v>
      </c>
      <c r="J76" s="4">
        <v>40753</v>
      </c>
      <c r="K76" s="5">
        <v>0.4513888888888889</v>
      </c>
      <c r="L76" s="3">
        <v>108</v>
      </c>
    </row>
    <row r="77" spans="1:12">
      <c r="A77" s="7" t="s">
        <v>690</v>
      </c>
      <c r="B77" s="2">
        <v>591</v>
      </c>
      <c r="C77" s="2" t="s">
        <v>530</v>
      </c>
      <c r="D77" s="6" t="s">
        <v>231</v>
      </c>
      <c r="E77" s="6" t="s">
        <v>232</v>
      </c>
      <c r="F77" s="6">
        <v>750</v>
      </c>
      <c r="G77" s="1">
        <v>200</v>
      </c>
      <c r="H77" s="4">
        <v>40770</v>
      </c>
      <c r="I77" s="5">
        <v>0</v>
      </c>
      <c r="J77" s="4">
        <v>40915</v>
      </c>
      <c r="K77" s="5">
        <v>0.41927083333333331</v>
      </c>
      <c r="L77" s="3">
        <v>146</v>
      </c>
    </row>
    <row r="78" spans="1:12">
      <c r="A78" s="7" t="s">
        <v>787</v>
      </c>
      <c r="B78" s="2">
        <v>716</v>
      </c>
      <c r="C78" s="2" t="s">
        <v>530</v>
      </c>
      <c r="D78" s="23" t="s">
        <v>233</v>
      </c>
      <c r="E78" s="23" t="s">
        <v>234</v>
      </c>
      <c r="F78" s="6">
        <v>985</v>
      </c>
      <c r="G78" s="1">
        <v>200</v>
      </c>
      <c r="H78" s="4">
        <v>41894</v>
      </c>
      <c r="I78" s="5">
        <v>0</v>
      </c>
      <c r="J78" s="4">
        <v>42201</v>
      </c>
      <c r="K78" s="5">
        <v>0.63888888888888895</v>
      </c>
      <c r="L78" s="3">
        <v>307.60000000000002</v>
      </c>
    </row>
    <row r="79" spans="1:12">
      <c r="A79" s="7" t="s">
        <v>752</v>
      </c>
      <c r="B79" s="2">
        <v>675</v>
      </c>
      <c r="C79" s="2" t="s">
        <v>530</v>
      </c>
      <c r="D79" s="23" t="s">
        <v>235</v>
      </c>
      <c r="E79" s="23" t="s">
        <v>236</v>
      </c>
      <c r="F79" s="6">
        <v>915</v>
      </c>
      <c r="G79" s="1">
        <v>200</v>
      </c>
      <c r="H79" s="4">
        <v>42292</v>
      </c>
      <c r="I79" s="5">
        <v>0</v>
      </c>
      <c r="J79" s="4">
        <v>42596</v>
      </c>
      <c r="K79" s="5">
        <v>0.10677083333333333</v>
      </c>
      <c r="L79" s="3">
        <v>304.10000000000002</v>
      </c>
    </row>
    <row r="80" spans="1:12">
      <c r="A80" s="7" t="s">
        <v>755</v>
      </c>
      <c r="B80" s="2">
        <v>678</v>
      </c>
      <c r="C80" s="2" t="s">
        <v>530</v>
      </c>
      <c r="D80" s="6" t="s">
        <v>235</v>
      </c>
      <c r="E80" s="6" t="s">
        <v>236</v>
      </c>
      <c r="F80" s="6">
        <v>915</v>
      </c>
      <c r="G80" s="1">
        <v>200</v>
      </c>
      <c r="H80" s="4">
        <v>42602</v>
      </c>
      <c r="I80" s="5">
        <v>0</v>
      </c>
      <c r="J80" s="4">
        <v>42808</v>
      </c>
      <c r="K80" s="5">
        <v>0.62760416666666663</v>
      </c>
      <c r="L80" s="3">
        <v>206.6</v>
      </c>
    </row>
    <row r="81" spans="1:12">
      <c r="A81" s="7" t="s">
        <v>698</v>
      </c>
      <c r="B81" s="2">
        <v>594</v>
      </c>
      <c r="C81" s="2" t="s">
        <v>530</v>
      </c>
      <c r="D81" s="6" t="s">
        <v>237</v>
      </c>
      <c r="E81" s="6" t="s">
        <v>238</v>
      </c>
      <c r="F81" s="6">
        <v>689</v>
      </c>
      <c r="G81" s="1">
        <v>200</v>
      </c>
      <c r="H81" s="4">
        <v>40242</v>
      </c>
      <c r="I81" s="5">
        <v>0</v>
      </c>
      <c r="J81" s="4">
        <v>40415</v>
      </c>
      <c r="K81" s="5">
        <v>0.72482638888888884</v>
      </c>
      <c r="L81" s="3">
        <v>203</v>
      </c>
    </row>
    <row r="82" spans="1:12">
      <c r="A82" s="7" t="s">
        <v>699</v>
      </c>
      <c r="B82" s="2">
        <v>594</v>
      </c>
      <c r="C82" s="2" t="s">
        <v>530</v>
      </c>
      <c r="D82" s="6" t="s">
        <v>239</v>
      </c>
      <c r="E82" s="6" t="s">
        <v>240</v>
      </c>
      <c r="F82" s="6">
        <v>696</v>
      </c>
      <c r="G82" s="1">
        <v>200</v>
      </c>
      <c r="H82" s="4">
        <v>40660</v>
      </c>
      <c r="I82" s="5">
        <v>0</v>
      </c>
      <c r="J82" s="4">
        <v>40836</v>
      </c>
      <c r="K82" s="5">
        <v>0.14149305555555555</v>
      </c>
      <c r="L82" s="3">
        <v>177</v>
      </c>
    </row>
    <row r="83" spans="1:12">
      <c r="A83" s="7" t="s">
        <v>741</v>
      </c>
      <c r="B83" s="2">
        <v>651</v>
      </c>
      <c r="C83" s="2" t="s">
        <v>530</v>
      </c>
      <c r="D83" s="6" t="s">
        <v>241</v>
      </c>
      <c r="E83" s="6" t="s">
        <v>242</v>
      </c>
      <c r="F83" s="6">
        <v>600</v>
      </c>
      <c r="G83" s="1">
        <v>200</v>
      </c>
      <c r="H83" s="4">
        <v>41478</v>
      </c>
      <c r="I83" s="5">
        <v>0</v>
      </c>
      <c r="J83" s="4">
        <v>41656</v>
      </c>
      <c r="K83" s="5">
        <v>0.71562500000000007</v>
      </c>
      <c r="L83" s="3">
        <v>178.7</v>
      </c>
    </row>
    <row r="84" spans="1:12">
      <c r="A84" s="7" t="s">
        <v>768</v>
      </c>
      <c r="B84" s="2">
        <v>695</v>
      </c>
      <c r="C84" s="2" t="s">
        <v>530</v>
      </c>
      <c r="D84" s="6" t="s">
        <v>241</v>
      </c>
      <c r="E84" s="6" t="s">
        <v>242</v>
      </c>
      <c r="F84" s="6">
        <v>600</v>
      </c>
      <c r="G84" s="1">
        <v>200</v>
      </c>
      <c r="H84" s="4">
        <v>41808</v>
      </c>
      <c r="I84" s="5">
        <v>0</v>
      </c>
      <c r="J84" s="4">
        <v>42111</v>
      </c>
      <c r="K84" s="5">
        <v>0.83663194444444444</v>
      </c>
      <c r="L84" s="3">
        <v>303.8</v>
      </c>
    </row>
    <row r="85" spans="1:12">
      <c r="A85" s="7" t="s">
        <v>845</v>
      </c>
      <c r="B85" s="2">
        <v>668</v>
      </c>
      <c r="C85" s="2" t="s">
        <v>530</v>
      </c>
      <c r="D85" s="6" t="s">
        <v>243</v>
      </c>
      <c r="E85" s="6" t="s">
        <v>244</v>
      </c>
      <c r="F85" s="6">
        <v>696</v>
      </c>
      <c r="G85" s="1">
        <v>200</v>
      </c>
      <c r="H85" s="4">
        <v>42137</v>
      </c>
      <c r="I85" s="5">
        <v>0</v>
      </c>
      <c r="J85" s="4">
        <v>42492</v>
      </c>
      <c r="K85" s="5">
        <v>0.78645833333333337</v>
      </c>
      <c r="L85" s="3">
        <v>355.8</v>
      </c>
    </row>
    <row r="86" spans="1:12">
      <c r="A86" s="7" t="s">
        <v>675</v>
      </c>
      <c r="B86" s="2">
        <v>863</v>
      </c>
      <c r="C86" s="2" t="s">
        <v>530</v>
      </c>
      <c r="D86" s="6" t="s">
        <v>245</v>
      </c>
      <c r="E86" s="6" t="s">
        <v>246</v>
      </c>
      <c r="F86" s="6">
        <v>329</v>
      </c>
      <c r="G86" s="1">
        <v>200</v>
      </c>
      <c r="H86" s="4">
        <v>42884</v>
      </c>
      <c r="I86" s="5">
        <v>0</v>
      </c>
      <c r="J86" s="4">
        <v>43253</v>
      </c>
      <c r="K86" s="5">
        <v>1.1805555555555555E-2</v>
      </c>
      <c r="L86" s="3">
        <v>369</v>
      </c>
    </row>
    <row r="87" spans="1:12">
      <c r="A87" s="7" t="s">
        <v>665</v>
      </c>
      <c r="B87" s="2">
        <v>583</v>
      </c>
      <c r="C87" s="2" t="s">
        <v>530</v>
      </c>
      <c r="D87" s="6" t="s">
        <v>444</v>
      </c>
      <c r="E87" s="6" t="s">
        <v>445</v>
      </c>
      <c r="F87" s="6">
        <v>995</v>
      </c>
      <c r="G87" s="1">
        <v>200</v>
      </c>
      <c r="H87" s="4">
        <v>40646</v>
      </c>
      <c r="I87" s="5">
        <v>0</v>
      </c>
      <c r="J87" s="4">
        <v>40869</v>
      </c>
      <c r="K87" s="5">
        <v>0.61284722222222221</v>
      </c>
      <c r="L87" s="3">
        <v>224</v>
      </c>
    </row>
    <row r="88" spans="1:12">
      <c r="A88" s="7" t="s">
        <v>705</v>
      </c>
      <c r="B88" s="2">
        <v>598</v>
      </c>
      <c r="C88" s="2" t="s">
        <v>530</v>
      </c>
      <c r="D88" s="6" t="s">
        <v>446</v>
      </c>
      <c r="E88" s="6" t="s">
        <v>447</v>
      </c>
      <c r="F88" s="6">
        <v>1000</v>
      </c>
      <c r="G88" s="1">
        <v>200</v>
      </c>
      <c r="H88" s="4">
        <v>41083</v>
      </c>
      <c r="I88" s="5">
        <v>0</v>
      </c>
      <c r="J88" s="4">
        <v>41408</v>
      </c>
      <c r="K88" s="5">
        <v>0.95677083333333324</v>
      </c>
      <c r="L88" s="3">
        <v>327</v>
      </c>
    </row>
    <row r="89" spans="1:12">
      <c r="A89" s="7" t="s">
        <v>769</v>
      </c>
      <c r="B89" s="2">
        <v>695</v>
      </c>
      <c r="C89" s="2" t="s">
        <v>530</v>
      </c>
      <c r="D89" s="6" t="s">
        <v>448</v>
      </c>
      <c r="E89" s="6" t="s">
        <v>449</v>
      </c>
      <c r="F89" s="6">
        <v>1000</v>
      </c>
      <c r="G89" s="1">
        <v>200</v>
      </c>
      <c r="H89" s="4">
        <v>41478</v>
      </c>
      <c r="I89" s="5">
        <v>0</v>
      </c>
      <c r="J89" s="4">
        <v>41805</v>
      </c>
      <c r="K89" s="5">
        <v>2.9513888888888888E-3</v>
      </c>
      <c r="L89" s="3">
        <v>327</v>
      </c>
    </row>
    <row r="90" spans="1:12">
      <c r="A90" s="7" t="s">
        <v>742</v>
      </c>
      <c r="B90" s="2">
        <v>651</v>
      </c>
      <c r="C90" s="2" t="s">
        <v>530</v>
      </c>
      <c r="D90" s="6" t="s">
        <v>448</v>
      </c>
      <c r="E90" s="6" t="s">
        <v>449</v>
      </c>
      <c r="F90" s="6">
        <v>1000</v>
      </c>
      <c r="G90" s="1">
        <v>200</v>
      </c>
      <c r="H90" s="4">
        <v>41806</v>
      </c>
      <c r="I90" s="5">
        <v>0</v>
      </c>
      <c r="J90" s="4">
        <v>41954</v>
      </c>
      <c r="K90" s="5">
        <v>0.34166666666666662</v>
      </c>
      <c r="L90" s="3">
        <v>148.30000000000001</v>
      </c>
    </row>
    <row r="91" spans="1:12">
      <c r="A91" s="7" t="s">
        <v>840</v>
      </c>
      <c r="B91" s="2">
        <v>668</v>
      </c>
      <c r="C91" s="2" t="s">
        <v>530</v>
      </c>
      <c r="D91" s="6" t="s">
        <v>448</v>
      </c>
      <c r="E91" s="6" t="s">
        <v>449</v>
      </c>
      <c r="F91" s="6">
        <v>1000</v>
      </c>
      <c r="G91" s="1">
        <v>200</v>
      </c>
      <c r="H91" s="4">
        <v>42520</v>
      </c>
      <c r="I91" s="5">
        <v>0</v>
      </c>
      <c r="J91" s="4">
        <v>42679</v>
      </c>
      <c r="K91" s="5">
        <v>0.77673611111111107</v>
      </c>
      <c r="L91" s="3">
        <v>159.80000000000001</v>
      </c>
    </row>
    <row r="92" spans="1:12">
      <c r="A92" s="7" t="s">
        <v>697</v>
      </c>
      <c r="B92" s="2">
        <v>593</v>
      </c>
      <c r="C92" s="2" t="s">
        <v>530</v>
      </c>
      <c r="D92" s="6" t="s">
        <v>456</v>
      </c>
      <c r="E92" s="6" t="s">
        <v>457</v>
      </c>
      <c r="F92" s="6">
        <v>800</v>
      </c>
      <c r="G92" s="1">
        <v>200</v>
      </c>
      <c r="H92" s="4">
        <v>40209</v>
      </c>
      <c r="I92" s="5">
        <v>0</v>
      </c>
      <c r="J92" s="4">
        <v>40302</v>
      </c>
      <c r="K92" s="5">
        <v>0.98089120370370375</v>
      </c>
      <c r="L92" s="3">
        <v>93</v>
      </c>
    </row>
    <row r="93" spans="1:12">
      <c r="A93" s="7" t="s">
        <v>706</v>
      </c>
      <c r="B93" s="2">
        <v>599</v>
      </c>
      <c r="C93" s="2" t="s">
        <v>530</v>
      </c>
      <c r="D93" s="6" t="s">
        <v>459</v>
      </c>
      <c r="E93" s="6" t="s">
        <v>458</v>
      </c>
      <c r="F93" s="6">
        <v>935</v>
      </c>
      <c r="G93" s="1">
        <v>200</v>
      </c>
      <c r="H93" s="4">
        <v>40964</v>
      </c>
      <c r="I93" s="5">
        <v>0</v>
      </c>
      <c r="J93" s="4">
        <v>41277</v>
      </c>
      <c r="K93" s="5">
        <v>0.66840277777777779</v>
      </c>
      <c r="L93" s="3">
        <v>313.7</v>
      </c>
    </row>
    <row r="94" spans="1:12">
      <c r="A94" s="7" t="s">
        <v>805</v>
      </c>
      <c r="B94" s="2">
        <v>730</v>
      </c>
      <c r="D94" s="1" t="s">
        <v>806</v>
      </c>
      <c r="E94" s="1" t="s">
        <v>807</v>
      </c>
      <c r="F94" s="1">
        <v>849</v>
      </c>
      <c r="H94" s="4">
        <v>41810</v>
      </c>
      <c r="I94" s="5"/>
      <c r="J94" s="4">
        <v>42132</v>
      </c>
      <c r="K94" s="5"/>
      <c r="L94" s="3">
        <v>381</v>
      </c>
    </row>
    <row r="95" spans="1:12">
      <c r="A95" s="7" t="s">
        <v>756</v>
      </c>
      <c r="B95" s="2">
        <v>678</v>
      </c>
      <c r="C95" s="2" t="s">
        <v>530</v>
      </c>
      <c r="D95" s="6" t="s">
        <v>460</v>
      </c>
      <c r="E95" s="6" t="s">
        <v>461</v>
      </c>
      <c r="F95" s="6">
        <v>620</v>
      </c>
      <c r="G95" s="1">
        <v>200</v>
      </c>
      <c r="H95" s="4">
        <v>42129</v>
      </c>
      <c r="I95" s="5">
        <v>0</v>
      </c>
      <c r="J95" s="4">
        <v>42514</v>
      </c>
      <c r="K95" s="5">
        <v>0.25</v>
      </c>
      <c r="L95" s="3">
        <v>385.6</v>
      </c>
    </row>
    <row r="96" spans="1:12">
      <c r="A96" s="7" t="s">
        <v>743</v>
      </c>
      <c r="B96" s="2">
        <v>651</v>
      </c>
      <c r="C96" s="2" t="s">
        <v>530</v>
      </c>
      <c r="D96" s="6" t="s">
        <v>462</v>
      </c>
      <c r="E96" s="6" t="s">
        <v>463</v>
      </c>
      <c r="F96" s="6">
        <v>620</v>
      </c>
      <c r="G96" s="1">
        <v>200</v>
      </c>
      <c r="H96" s="4">
        <v>42472</v>
      </c>
      <c r="I96" s="5">
        <v>0</v>
      </c>
      <c r="J96" s="4">
        <v>42720</v>
      </c>
      <c r="K96" s="5">
        <v>0.2517361111111111</v>
      </c>
      <c r="L96" s="3">
        <v>248.3</v>
      </c>
    </row>
    <row r="97" spans="1:12">
      <c r="A97" s="7" t="s">
        <v>723</v>
      </c>
      <c r="B97" s="2">
        <v>614</v>
      </c>
      <c r="C97" s="2" t="s">
        <v>530</v>
      </c>
      <c r="D97" s="6" t="s">
        <v>210</v>
      </c>
      <c r="E97" s="6" t="s">
        <v>211</v>
      </c>
      <c r="F97" s="6">
        <v>118</v>
      </c>
      <c r="G97" s="1">
        <v>200</v>
      </c>
      <c r="H97" s="4">
        <v>40684</v>
      </c>
      <c r="I97" s="5">
        <v>0</v>
      </c>
      <c r="J97" s="4">
        <v>40853</v>
      </c>
      <c r="K97" s="5">
        <v>0.42531249999999998</v>
      </c>
      <c r="L97" s="3">
        <v>169.4</v>
      </c>
    </row>
    <row r="98" spans="1:12">
      <c r="A98" s="7" t="s">
        <v>681</v>
      </c>
      <c r="B98" s="2">
        <v>587</v>
      </c>
      <c r="C98" s="2" t="s">
        <v>530</v>
      </c>
      <c r="D98" s="6" t="s">
        <v>212</v>
      </c>
      <c r="E98" s="6" t="s">
        <v>213</v>
      </c>
      <c r="F98" s="6">
        <v>150</v>
      </c>
      <c r="G98" s="1">
        <v>200</v>
      </c>
      <c r="H98" s="4">
        <v>40884</v>
      </c>
      <c r="I98" s="5">
        <v>0</v>
      </c>
      <c r="J98" s="4">
        <v>40925</v>
      </c>
      <c r="K98" s="5">
        <v>0.55902777777777779</v>
      </c>
      <c r="L98" s="3">
        <v>42</v>
      </c>
    </row>
    <row r="99" spans="1:12">
      <c r="A99" s="7" t="s">
        <v>214</v>
      </c>
      <c r="B99" s="2">
        <v>587</v>
      </c>
      <c r="C99" s="2" t="s">
        <v>530</v>
      </c>
      <c r="D99" s="6" t="s">
        <v>215</v>
      </c>
      <c r="E99" s="6" t="s">
        <v>216</v>
      </c>
      <c r="F99" s="6">
        <v>650</v>
      </c>
      <c r="G99" s="1">
        <v>200</v>
      </c>
      <c r="H99" s="4">
        <v>40570</v>
      </c>
      <c r="I99" s="5">
        <v>0.25</v>
      </c>
      <c r="J99" s="4">
        <v>40823</v>
      </c>
      <c r="K99" s="5">
        <v>0.30812499999999998</v>
      </c>
      <c r="L99" s="3">
        <v>253.1</v>
      </c>
    </row>
    <row r="100" spans="1:12">
      <c r="A100" s="7" t="s">
        <v>217</v>
      </c>
      <c r="B100" s="2">
        <v>614</v>
      </c>
      <c r="C100" s="2" t="s">
        <v>530</v>
      </c>
      <c r="D100" s="6" t="s">
        <v>218</v>
      </c>
      <c r="E100" s="6" t="s">
        <v>219</v>
      </c>
      <c r="F100" s="6">
        <v>1394</v>
      </c>
      <c r="G100" s="1">
        <v>200</v>
      </c>
      <c r="H100" s="4">
        <v>40884</v>
      </c>
      <c r="I100" s="5">
        <v>0.25</v>
      </c>
      <c r="J100" s="4">
        <v>41101</v>
      </c>
      <c r="K100" s="5">
        <v>0.29166666666666669</v>
      </c>
      <c r="L100" s="3">
        <v>218</v>
      </c>
    </row>
    <row r="101" spans="1:12">
      <c r="A101" s="7" t="s">
        <v>220</v>
      </c>
      <c r="B101" s="2">
        <v>678</v>
      </c>
      <c r="C101" s="2" t="s">
        <v>530</v>
      </c>
      <c r="D101" s="6" t="s">
        <v>221</v>
      </c>
      <c r="E101" s="6" t="s">
        <v>222</v>
      </c>
      <c r="F101" s="6">
        <v>1394</v>
      </c>
      <c r="G101" s="1">
        <v>200</v>
      </c>
      <c r="H101" s="4">
        <v>41166</v>
      </c>
      <c r="I101" s="5">
        <v>0</v>
      </c>
      <c r="J101" s="4">
        <v>41455</v>
      </c>
      <c r="K101" s="5">
        <v>0.390625</v>
      </c>
      <c r="L101" s="3">
        <v>289</v>
      </c>
    </row>
    <row r="102" spans="1:12">
      <c r="A102" s="7" t="s">
        <v>599</v>
      </c>
      <c r="B102" s="2">
        <v>425</v>
      </c>
      <c r="C102" s="2" t="s">
        <v>530</v>
      </c>
      <c r="D102" s="6" t="s">
        <v>251</v>
      </c>
      <c r="E102" s="6" t="s">
        <v>252</v>
      </c>
      <c r="F102" s="6">
        <v>318</v>
      </c>
      <c r="G102" s="1">
        <v>200</v>
      </c>
      <c r="H102" s="4">
        <v>39377</v>
      </c>
      <c r="I102" s="5">
        <v>0.5</v>
      </c>
      <c r="J102" s="4">
        <v>39431</v>
      </c>
      <c r="K102" s="5">
        <v>0.76302083333333337</v>
      </c>
      <c r="L102" s="3">
        <v>55</v>
      </c>
    </row>
    <row r="103" spans="1:12">
      <c r="A103" s="7" t="s">
        <v>601</v>
      </c>
      <c r="B103" s="2">
        <v>429</v>
      </c>
      <c r="C103" s="2" t="s">
        <v>530</v>
      </c>
      <c r="D103" s="6" t="s">
        <v>257</v>
      </c>
      <c r="E103" s="6" t="s">
        <v>258</v>
      </c>
      <c r="F103" s="6">
        <v>308</v>
      </c>
      <c r="G103" s="1">
        <v>200</v>
      </c>
      <c r="H103" s="4">
        <v>39429</v>
      </c>
      <c r="I103" s="5">
        <v>0.33333333333333331</v>
      </c>
      <c r="J103" s="4">
        <v>39440</v>
      </c>
      <c r="K103" s="5">
        <v>0.68737268518518524</v>
      </c>
      <c r="L103" s="3">
        <v>12</v>
      </c>
    </row>
    <row r="104" spans="1:12">
      <c r="A104" s="7" t="s">
        <v>589</v>
      </c>
      <c r="B104" s="2">
        <v>400</v>
      </c>
      <c r="C104" s="2">
        <v>400</v>
      </c>
      <c r="D104" s="6" t="s">
        <v>284</v>
      </c>
      <c r="E104" s="6" t="s">
        <v>285</v>
      </c>
      <c r="F104" s="6">
        <v>1141</v>
      </c>
      <c r="G104" s="1">
        <v>200</v>
      </c>
      <c r="H104" s="4">
        <v>39882</v>
      </c>
      <c r="I104" s="5">
        <v>0.75</v>
      </c>
      <c r="J104" s="4">
        <v>39937</v>
      </c>
      <c r="K104" s="5">
        <v>1.1284722222222222E-2</v>
      </c>
      <c r="L104" s="3">
        <v>55</v>
      </c>
    </row>
    <row r="105" spans="1:12">
      <c r="A105" s="7" t="s">
        <v>594</v>
      </c>
      <c r="B105" s="2">
        <v>412</v>
      </c>
      <c r="C105" s="2" t="s">
        <v>530</v>
      </c>
      <c r="D105" s="6" t="s">
        <v>38</v>
      </c>
      <c r="E105" s="6" t="s">
        <v>286</v>
      </c>
      <c r="F105" s="6">
        <v>577</v>
      </c>
      <c r="G105" s="1">
        <v>200</v>
      </c>
      <c r="H105" s="4">
        <v>39856</v>
      </c>
      <c r="I105" s="5">
        <v>0.75</v>
      </c>
      <c r="J105" s="4">
        <v>39939</v>
      </c>
      <c r="K105" s="5">
        <v>1.0416666666666666E-2</v>
      </c>
      <c r="L105" s="3">
        <v>55</v>
      </c>
    </row>
    <row r="106" spans="1:12">
      <c r="A106" s="7" t="s">
        <v>676</v>
      </c>
      <c r="B106" s="2">
        <v>860</v>
      </c>
      <c r="C106" s="2" t="s">
        <v>532</v>
      </c>
      <c r="D106" s="6" t="s">
        <v>22</v>
      </c>
      <c r="E106" s="6" t="s">
        <v>23</v>
      </c>
      <c r="F106" s="6">
        <v>1113</v>
      </c>
      <c r="G106" s="1">
        <v>200</v>
      </c>
      <c r="H106" s="4">
        <v>43423</v>
      </c>
      <c r="I106" s="5">
        <v>0.125</v>
      </c>
      <c r="J106" s="4">
        <v>43760</v>
      </c>
      <c r="K106" s="5">
        <v>0.66579861111111105</v>
      </c>
      <c r="L106" s="3">
        <v>337.5</v>
      </c>
    </row>
    <row r="107" spans="1:12">
      <c r="A107" s="7" t="s">
        <v>831</v>
      </c>
      <c r="B107" s="2">
        <v>818</v>
      </c>
      <c r="C107" s="2" t="s">
        <v>530</v>
      </c>
      <c r="D107" s="6" t="s">
        <v>28</v>
      </c>
      <c r="E107" s="6" t="s">
        <v>29</v>
      </c>
      <c r="F107" s="6">
        <v>812</v>
      </c>
      <c r="G107" s="1">
        <v>200</v>
      </c>
      <c r="H107" s="4">
        <v>42653</v>
      </c>
      <c r="I107" s="5">
        <v>0</v>
      </c>
      <c r="J107" s="4">
        <v>43047</v>
      </c>
      <c r="K107" s="5">
        <v>0.93496527777777771</v>
      </c>
      <c r="L107" s="3">
        <v>394.9</v>
      </c>
    </row>
    <row r="108" spans="1:12">
      <c r="A108" s="7" t="s">
        <v>602</v>
      </c>
      <c r="B108" s="2">
        <v>451</v>
      </c>
      <c r="C108" s="2" t="s">
        <v>530</v>
      </c>
      <c r="D108" s="6" t="s">
        <v>30</v>
      </c>
      <c r="E108" s="6" t="s">
        <v>31</v>
      </c>
      <c r="F108" s="6">
        <v>610</v>
      </c>
      <c r="G108" s="1">
        <v>200</v>
      </c>
      <c r="H108" s="4">
        <v>39555</v>
      </c>
      <c r="I108" s="5">
        <v>0</v>
      </c>
      <c r="J108" s="4">
        <v>39605</v>
      </c>
      <c r="K108" s="5">
        <v>0.2421875</v>
      </c>
      <c r="L108" s="3">
        <v>51</v>
      </c>
    </row>
    <row r="109" spans="1:12">
      <c r="A109" s="7" t="s">
        <v>616</v>
      </c>
      <c r="B109" s="2">
        <v>472</v>
      </c>
      <c r="C109" s="2" t="s">
        <v>530</v>
      </c>
      <c r="D109" s="6" t="s">
        <v>32</v>
      </c>
      <c r="E109" s="6" t="s">
        <v>33</v>
      </c>
      <c r="F109" s="6">
        <v>580</v>
      </c>
      <c r="G109" s="1">
        <v>200</v>
      </c>
      <c r="H109" s="4">
        <v>39652</v>
      </c>
      <c r="I109" s="5">
        <v>0</v>
      </c>
      <c r="J109" s="4">
        <v>39722</v>
      </c>
      <c r="K109" s="5">
        <v>0.99913194444444453</v>
      </c>
      <c r="L109" s="3">
        <v>71</v>
      </c>
    </row>
    <row r="110" spans="1:12">
      <c r="A110" s="7" t="s">
        <v>613</v>
      </c>
      <c r="B110" s="2">
        <v>471</v>
      </c>
      <c r="C110" s="2" t="s">
        <v>530</v>
      </c>
      <c r="D110" s="6" t="s">
        <v>34</v>
      </c>
      <c r="E110" s="6" t="s">
        <v>35</v>
      </c>
      <c r="F110" s="6">
        <v>576</v>
      </c>
      <c r="G110" s="1">
        <v>200</v>
      </c>
      <c r="H110" s="4">
        <v>39737</v>
      </c>
      <c r="I110" s="5">
        <v>0</v>
      </c>
      <c r="J110" s="4">
        <v>39785</v>
      </c>
      <c r="K110" s="5">
        <v>4.8877314814814811E-2</v>
      </c>
      <c r="L110" s="3">
        <v>49</v>
      </c>
    </row>
    <row r="111" spans="1:12">
      <c r="A111" s="7" t="s">
        <v>617</v>
      </c>
      <c r="B111" s="2">
        <v>472</v>
      </c>
      <c r="C111" s="2" t="s">
        <v>530</v>
      </c>
      <c r="D111" s="6" t="s">
        <v>38</v>
      </c>
      <c r="E111" s="6" t="s">
        <v>39</v>
      </c>
      <c r="F111" s="6">
        <v>580</v>
      </c>
      <c r="G111" s="1">
        <v>200</v>
      </c>
      <c r="H111" s="4">
        <v>39786</v>
      </c>
      <c r="I111" s="5">
        <v>0.83333333333333337</v>
      </c>
      <c r="J111" s="4">
        <v>39865</v>
      </c>
      <c r="K111" s="5">
        <v>0.46837962962962965</v>
      </c>
      <c r="L111" s="3">
        <v>80</v>
      </c>
    </row>
    <row r="112" spans="1:12">
      <c r="A112" s="7" t="s">
        <v>595</v>
      </c>
      <c r="B112" s="2">
        <v>412</v>
      </c>
      <c r="C112" s="2" t="s">
        <v>530</v>
      </c>
      <c r="D112" s="6" t="s">
        <v>42</v>
      </c>
      <c r="E112" s="6" t="s">
        <v>43</v>
      </c>
      <c r="F112" s="6">
        <v>580</v>
      </c>
      <c r="G112" s="1">
        <v>200</v>
      </c>
      <c r="H112" s="4">
        <v>40059</v>
      </c>
      <c r="I112" s="5">
        <v>0</v>
      </c>
      <c r="J112" s="4">
        <v>40113</v>
      </c>
      <c r="K112" s="5">
        <v>0.26215277777777779</v>
      </c>
      <c r="L112" s="3">
        <v>54</v>
      </c>
    </row>
    <row r="113" spans="1:12">
      <c r="A113" s="7" t="s">
        <v>657</v>
      </c>
      <c r="B113" s="2">
        <v>580</v>
      </c>
      <c r="C113" s="2" t="s">
        <v>530</v>
      </c>
      <c r="D113" s="6" t="s">
        <v>46</v>
      </c>
      <c r="E113" s="6" t="s">
        <v>47</v>
      </c>
      <c r="F113" s="6">
        <v>581</v>
      </c>
      <c r="G113" s="1">
        <v>200</v>
      </c>
      <c r="H113" s="4">
        <v>40239</v>
      </c>
      <c r="I113" s="5">
        <v>0</v>
      </c>
      <c r="J113" s="4">
        <v>40340</v>
      </c>
      <c r="K113" s="5">
        <v>0.98177083333333337</v>
      </c>
      <c r="L113" s="3">
        <v>101</v>
      </c>
    </row>
    <row r="114" spans="1:12">
      <c r="A114" s="7" t="s">
        <v>661</v>
      </c>
      <c r="B114" s="2">
        <v>581</v>
      </c>
      <c r="C114" s="2" t="s">
        <v>530</v>
      </c>
      <c r="D114" s="6" t="s">
        <v>50</v>
      </c>
      <c r="E114" s="6" t="s">
        <v>51</v>
      </c>
      <c r="F114" s="6">
        <v>549</v>
      </c>
      <c r="G114" s="1">
        <v>200</v>
      </c>
      <c r="H114" s="4">
        <v>40354</v>
      </c>
      <c r="I114" s="5">
        <v>0.91666666666666663</v>
      </c>
      <c r="J114" s="4">
        <v>40440</v>
      </c>
      <c r="K114" s="5">
        <v>0.45047453703703705</v>
      </c>
      <c r="L114" s="3">
        <v>86</v>
      </c>
    </row>
    <row r="115" spans="1:12">
      <c r="A115" s="7" t="s">
        <v>658</v>
      </c>
      <c r="B115" s="2">
        <v>580</v>
      </c>
      <c r="C115" s="2" t="s">
        <v>530</v>
      </c>
      <c r="D115" s="6" t="s">
        <v>56</v>
      </c>
      <c r="E115" s="6" t="s">
        <v>57</v>
      </c>
      <c r="F115" s="6">
        <v>580</v>
      </c>
      <c r="G115" s="1">
        <v>200</v>
      </c>
      <c r="H115" s="4">
        <v>40639</v>
      </c>
      <c r="I115" s="5">
        <v>0.70833333333333337</v>
      </c>
      <c r="J115" s="4">
        <v>40734</v>
      </c>
      <c r="K115" s="5">
        <v>0.2265625</v>
      </c>
      <c r="L115" s="3">
        <v>92</v>
      </c>
    </row>
    <row r="116" spans="1:12">
      <c r="A116" s="7" t="s">
        <v>737</v>
      </c>
      <c r="B116" s="2">
        <v>646</v>
      </c>
      <c r="C116" s="2" t="s">
        <v>530</v>
      </c>
      <c r="D116" s="6" t="s">
        <v>60</v>
      </c>
      <c r="E116" s="6" t="s">
        <v>61</v>
      </c>
      <c r="F116" s="6">
        <v>580</v>
      </c>
      <c r="G116" s="1">
        <v>200</v>
      </c>
      <c r="H116" s="4">
        <v>40843</v>
      </c>
      <c r="I116" s="5">
        <v>0</v>
      </c>
      <c r="J116" s="4">
        <v>40987</v>
      </c>
      <c r="K116" s="5">
        <v>0.6640625</v>
      </c>
      <c r="L116" s="3">
        <v>144</v>
      </c>
    </row>
    <row r="117" spans="1:12">
      <c r="A117" s="7" t="s">
        <v>728</v>
      </c>
      <c r="B117" s="2">
        <v>618</v>
      </c>
      <c r="C117" s="2" t="s">
        <v>530</v>
      </c>
      <c r="D117" s="6" t="s">
        <v>62</v>
      </c>
      <c r="E117" s="6" t="s">
        <v>63</v>
      </c>
      <c r="F117" s="6">
        <v>580</v>
      </c>
      <c r="G117" s="1">
        <v>200</v>
      </c>
      <c r="H117" s="4">
        <v>40992</v>
      </c>
      <c r="I117" s="5">
        <v>1.1574074074074073E-5</v>
      </c>
      <c r="J117" s="4">
        <v>41116</v>
      </c>
      <c r="K117" s="5">
        <v>8.2476851851851843E-2</v>
      </c>
      <c r="L117" s="3">
        <v>125</v>
      </c>
    </row>
    <row r="118" spans="1:12">
      <c r="A118" s="7" t="s">
        <v>846</v>
      </c>
      <c r="B118" s="2">
        <v>672</v>
      </c>
      <c r="D118" s="1" t="s">
        <v>748</v>
      </c>
      <c r="E118" s="1" t="s">
        <v>749</v>
      </c>
      <c r="F118" s="1">
        <v>900</v>
      </c>
      <c r="H118" s="4">
        <v>41123</v>
      </c>
      <c r="I118" s="5"/>
      <c r="J118" s="4">
        <v>41246</v>
      </c>
      <c r="K118" s="5"/>
      <c r="L118" s="3">
        <v>124</v>
      </c>
    </row>
    <row r="119" spans="1:12">
      <c r="A119" s="1" t="s">
        <v>771</v>
      </c>
      <c r="B119" s="2">
        <v>695</v>
      </c>
      <c r="C119" s="2" t="s">
        <v>530</v>
      </c>
      <c r="D119" s="6" t="s">
        <v>66</v>
      </c>
      <c r="E119" s="6" t="s">
        <v>67</v>
      </c>
      <c r="F119" s="6">
        <v>900</v>
      </c>
      <c r="G119" s="1">
        <v>200</v>
      </c>
      <c r="H119" s="4">
        <v>41259</v>
      </c>
      <c r="I119" s="5">
        <v>0.875</v>
      </c>
      <c r="J119" s="4">
        <v>41396</v>
      </c>
      <c r="K119" s="5">
        <v>0.85243055555555547</v>
      </c>
      <c r="L119" s="3">
        <v>138</v>
      </c>
    </row>
    <row r="120" spans="1:12">
      <c r="A120" s="1" t="s">
        <v>847</v>
      </c>
      <c r="B120" s="2">
        <v>691</v>
      </c>
      <c r="D120" s="1" t="s">
        <v>761</v>
      </c>
      <c r="E120" s="1" t="s">
        <v>762</v>
      </c>
      <c r="F120" s="1">
        <v>580</v>
      </c>
      <c r="H120" s="4">
        <v>41396</v>
      </c>
      <c r="I120" s="5"/>
      <c r="J120" s="4">
        <v>41537</v>
      </c>
      <c r="K120" s="5"/>
      <c r="L120" s="3">
        <v>140</v>
      </c>
    </row>
    <row r="121" spans="1:12">
      <c r="A121" s="1" t="s">
        <v>848</v>
      </c>
      <c r="B121" s="2">
        <v>725</v>
      </c>
      <c r="D121" s="1" t="s">
        <v>799</v>
      </c>
      <c r="E121" s="1" t="s">
        <v>800</v>
      </c>
      <c r="F121" s="1">
        <v>535</v>
      </c>
      <c r="H121" s="4">
        <v>41538</v>
      </c>
      <c r="I121" s="5"/>
      <c r="J121" s="4">
        <v>41647</v>
      </c>
      <c r="K121" s="5"/>
      <c r="L121" s="3">
        <v>110</v>
      </c>
    </row>
    <row r="122" spans="1:12">
      <c r="A122" s="1" t="s">
        <v>786</v>
      </c>
      <c r="B122" s="2">
        <v>714</v>
      </c>
      <c r="C122" s="2" t="s">
        <v>530</v>
      </c>
      <c r="D122" s="6" t="s">
        <v>74</v>
      </c>
      <c r="E122" s="6" t="s">
        <v>75</v>
      </c>
      <c r="F122" s="6">
        <v>600</v>
      </c>
      <c r="G122" s="1">
        <v>200</v>
      </c>
      <c r="H122" s="4">
        <v>42041</v>
      </c>
      <c r="I122" s="5">
        <v>0</v>
      </c>
      <c r="J122" s="4">
        <v>42165</v>
      </c>
      <c r="K122" s="5">
        <v>0.75694444444444453</v>
      </c>
      <c r="L122" s="3">
        <v>124.8</v>
      </c>
    </row>
    <row r="123" spans="1:12">
      <c r="A123" s="7" t="s">
        <v>820</v>
      </c>
      <c r="B123" s="2">
        <v>780</v>
      </c>
      <c r="C123" s="2" t="s">
        <v>530</v>
      </c>
      <c r="D123" s="6" t="s">
        <v>78</v>
      </c>
      <c r="E123" s="6" t="s">
        <v>79</v>
      </c>
      <c r="F123" s="6">
        <v>579</v>
      </c>
      <c r="G123" s="1">
        <v>200</v>
      </c>
      <c r="H123" s="4">
        <v>42282</v>
      </c>
      <c r="I123" s="5">
        <v>0</v>
      </c>
      <c r="J123" s="4">
        <v>42354</v>
      </c>
      <c r="K123" s="5">
        <v>4.520833333333333E-2</v>
      </c>
      <c r="L123" s="3">
        <v>72</v>
      </c>
    </row>
    <row r="124" spans="1:12">
      <c r="A124" s="30" t="s">
        <v>821</v>
      </c>
      <c r="B124" s="2">
        <v>780</v>
      </c>
      <c r="C124" s="2" t="s">
        <v>530</v>
      </c>
      <c r="D124" s="6" t="s">
        <v>80</v>
      </c>
      <c r="E124" s="6" t="s">
        <v>81</v>
      </c>
      <c r="F124" s="6">
        <v>585</v>
      </c>
      <c r="G124" s="1">
        <v>200</v>
      </c>
      <c r="H124" s="4">
        <v>42354</v>
      </c>
      <c r="I124" s="5">
        <v>0</v>
      </c>
      <c r="J124" s="4">
        <v>42519</v>
      </c>
      <c r="K124" s="5">
        <v>5.2777777777777771E-3</v>
      </c>
      <c r="L124" s="3">
        <v>165</v>
      </c>
    </row>
    <row r="125" spans="1:12">
      <c r="A125" s="7" t="s">
        <v>812</v>
      </c>
      <c r="B125" s="2">
        <v>738</v>
      </c>
      <c r="C125" s="2" t="s">
        <v>530</v>
      </c>
      <c r="D125" s="6" t="s">
        <v>82</v>
      </c>
      <c r="E125" s="6" t="s">
        <v>83</v>
      </c>
      <c r="F125" s="6">
        <v>578</v>
      </c>
      <c r="G125" s="1">
        <v>200</v>
      </c>
      <c r="H125" s="4">
        <v>42578</v>
      </c>
      <c r="I125" s="5">
        <v>0.75</v>
      </c>
      <c r="J125" s="4">
        <v>42683</v>
      </c>
      <c r="K125" s="5">
        <v>0.69270833333333337</v>
      </c>
      <c r="L125" s="3">
        <v>104.9</v>
      </c>
    </row>
    <row r="126" spans="1:12">
      <c r="A126" s="7" t="s">
        <v>615</v>
      </c>
      <c r="B126" s="2">
        <v>472</v>
      </c>
      <c r="C126" s="2" t="s">
        <v>530</v>
      </c>
      <c r="D126" s="6" t="s">
        <v>36</v>
      </c>
      <c r="E126" s="6" t="s">
        <v>37</v>
      </c>
      <c r="F126" s="6">
        <v>700</v>
      </c>
      <c r="G126" s="1">
        <v>200</v>
      </c>
      <c r="H126" s="4">
        <v>39736</v>
      </c>
      <c r="I126" s="5">
        <v>0</v>
      </c>
      <c r="J126" s="4">
        <v>39786</v>
      </c>
      <c r="K126" s="5">
        <v>4.3402777777777783E-2</v>
      </c>
      <c r="L126" s="3">
        <v>51</v>
      </c>
    </row>
    <row r="127" spans="1:12">
      <c r="A127" s="7" t="s">
        <v>598</v>
      </c>
      <c r="B127" s="2">
        <v>413</v>
      </c>
      <c r="C127" s="2" t="s">
        <v>530</v>
      </c>
      <c r="D127" s="6" t="s">
        <v>40</v>
      </c>
      <c r="E127" s="6" t="s">
        <v>41</v>
      </c>
      <c r="F127" s="6">
        <v>700</v>
      </c>
      <c r="G127" s="1">
        <v>200</v>
      </c>
      <c r="H127" s="4">
        <v>39785</v>
      </c>
      <c r="I127" s="5">
        <v>0</v>
      </c>
      <c r="J127" s="4">
        <v>39872</v>
      </c>
      <c r="K127" s="5">
        <v>0.18402777777777779</v>
      </c>
      <c r="L127" s="3">
        <v>88</v>
      </c>
    </row>
    <row r="128" spans="1:12">
      <c r="A128" s="7" t="s">
        <v>662</v>
      </c>
      <c r="B128" s="2">
        <v>581</v>
      </c>
      <c r="C128" s="2" t="s">
        <v>530</v>
      </c>
      <c r="D128" s="6" t="s">
        <v>44</v>
      </c>
      <c r="E128" s="6" t="s">
        <v>45</v>
      </c>
      <c r="F128" s="6">
        <v>780</v>
      </c>
      <c r="G128" s="1">
        <v>200</v>
      </c>
      <c r="H128" s="4">
        <v>40121</v>
      </c>
      <c r="I128" s="5">
        <v>0</v>
      </c>
      <c r="J128" s="4">
        <v>40229</v>
      </c>
      <c r="K128" s="5">
        <v>0.52256944444444442</v>
      </c>
      <c r="L128" s="3">
        <v>102</v>
      </c>
    </row>
    <row r="129" spans="1:12">
      <c r="A129" s="7" t="s">
        <v>663</v>
      </c>
      <c r="B129" s="2">
        <v>581</v>
      </c>
      <c r="C129" s="2" t="s">
        <v>530</v>
      </c>
      <c r="D129" s="6" t="s">
        <v>48</v>
      </c>
      <c r="E129" s="6" t="s">
        <v>49</v>
      </c>
      <c r="F129" s="6">
        <v>801</v>
      </c>
      <c r="G129" s="1">
        <v>200</v>
      </c>
      <c r="H129" s="4">
        <v>40240</v>
      </c>
      <c r="I129" s="5">
        <v>0</v>
      </c>
      <c r="J129" s="4">
        <v>40342</v>
      </c>
      <c r="K129" s="5">
        <v>0.71527777777777779</v>
      </c>
      <c r="L129" s="3">
        <v>102</v>
      </c>
    </row>
    <row r="130" spans="1:12">
      <c r="A130" s="7" t="s">
        <v>659</v>
      </c>
      <c r="B130" s="2">
        <v>580</v>
      </c>
      <c r="C130" s="2" t="s">
        <v>530</v>
      </c>
      <c r="D130" s="6" t="s">
        <v>52</v>
      </c>
      <c r="E130" s="6" t="s">
        <v>53</v>
      </c>
      <c r="F130" s="6">
        <v>915</v>
      </c>
      <c r="G130" s="1">
        <v>200</v>
      </c>
      <c r="H130" s="4">
        <v>40353</v>
      </c>
      <c r="I130" s="5">
        <v>0.95833333333333337</v>
      </c>
      <c r="J130" s="4">
        <v>40442</v>
      </c>
      <c r="K130" s="5">
        <v>0.15538194444444445</v>
      </c>
      <c r="L130" s="3">
        <v>89</v>
      </c>
    </row>
    <row r="131" spans="1:12">
      <c r="A131" s="7" t="s">
        <v>660</v>
      </c>
      <c r="B131" s="2">
        <v>580</v>
      </c>
      <c r="C131" s="2" t="s">
        <v>530</v>
      </c>
      <c r="D131" s="6" t="s">
        <v>54</v>
      </c>
      <c r="E131" s="6" t="s">
        <v>55</v>
      </c>
      <c r="F131" s="6">
        <v>850</v>
      </c>
      <c r="G131" s="1">
        <v>200</v>
      </c>
      <c r="H131" s="4">
        <v>40498</v>
      </c>
      <c r="I131" s="5">
        <v>0</v>
      </c>
      <c r="J131" s="4">
        <v>40604</v>
      </c>
      <c r="K131" s="5">
        <v>0.14583333333333334</v>
      </c>
      <c r="L131" s="3">
        <v>107</v>
      </c>
    </row>
    <row r="132" spans="1:12">
      <c r="A132" s="7" t="s">
        <v>664</v>
      </c>
      <c r="B132" s="2">
        <v>581</v>
      </c>
      <c r="C132" s="2" t="s">
        <v>530</v>
      </c>
      <c r="D132" s="22" t="s">
        <v>58</v>
      </c>
      <c r="E132" s="22" t="s">
        <v>59</v>
      </c>
      <c r="F132" s="22">
        <v>850</v>
      </c>
      <c r="G132" s="1">
        <v>200</v>
      </c>
      <c r="H132" s="4">
        <v>40638</v>
      </c>
      <c r="I132" s="5">
        <v>0.875</v>
      </c>
      <c r="J132" s="4">
        <v>40735</v>
      </c>
      <c r="K132" s="5">
        <v>0.96708333333333341</v>
      </c>
      <c r="L132" s="3">
        <v>94</v>
      </c>
    </row>
    <row r="133" spans="1:12">
      <c r="A133" s="1" t="s">
        <v>736</v>
      </c>
      <c r="B133" s="2">
        <v>645</v>
      </c>
      <c r="C133" s="2" t="s">
        <v>531</v>
      </c>
      <c r="D133" s="6" t="s">
        <v>64</v>
      </c>
      <c r="E133" s="6" t="s">
        <v>65</v>
      </c>
      <c r="F133" s="6">
        <v>758</v>
      </c>
      <c r="G133" s="1">
        <v>320</v>
      </c>
      <c r="H133" s="4">
        <v>40993</v>
      </c>
      <c r="I133" s="5">
        <v>0</v>
      </c>
      <c r="J133" s="4">
        <v>41123</v>
      </c>
      <c r="K133" s="5">
        <v>0.72288194444444442</v>
      </c>
      <c r="L133" s="3">
        <v>131</v>
      </c>
    </row>
    <row r="134" spans="1:12">
      <c r="A134" s="1" t="s">
        <v>844</v>
      </c>
      <c r="B134" s="2">
        <v>692</v>
      </c>
      <c r="C134" s="2" t="s">
        <v>530</v>
      </c>
      <c r="D134" s="6" t="s">
        <v>68</v>
      </c>
      <c r="E134" s="6" t="s">
        <v>69</v>
      </c>
      <c r="F134" s="6">
        <v>800</v>
      </c>
      <c r="G134" s="1">
        <v>320</v>
      </c>
      <c r="H134" s="4">
        <v>41261</v>
      </c>
      <c r="I134" s="5">
        <v>0</v>
      </c>
      <c r="J134" s="4">
        <v>41392</v>
      </c>
      <c r="K134" s="5">
        <v>0.63635416666666667</v>
      </c>
      <c r="L134" s="3">
        <v>132</v>
      </c>
    </row>
    <row r="135" spans="1:12">
      <c r="A135" s="7" t="s">
        <v>765</v>
      </c>
      <c r="B135" s="2">
        <v>692</v>
      </c>
      <c r="C135" s="2" t="s">
        <v>530</v>
      </c>
      <c r="D135" s="6" t="s">
        <v>70</v>
      </c>
      <c r="E135" s="6" t="s">
        <v>71</v>
      </c>
      <c r="F135" s="6">
        <v>828</v>
      </c>
      <c r="G135" s="1">
        <v>320</v>
      </c>
      <c r="H135" s="4">
        <v>41653</v>
      </c>
      <c r="I135" s="5">
        <v>0.875</v>
      </c>
      <c r="J135" s="4">
        <v>41738</v>
      </c>
      <c r="K135" s="5">
        <v>0.73682870370370368</v>
      </c>
      <c r="L135" s="3">
        <v>85</v>
      </c>
    </row>
    <row r="136" spans="1:12">
      <c r="A136" s="7" t="s">
        <v>818</v>
      </c>
      <c r="B136" s="2">
        <v>762</v>
      </c>
      <c r="C136" s="2" t="s">
        <v>530</v>
      </c>
      <c r="D136" s="6" t="s">
        <v>72</v>
      </c>
      <c r="E136" s="6" t="s">
        <v>73</v>
      </c>
      <c r="F136" s="6">
        <v>600</v>
      </c>
      <c r="G136" s="1">
        <v>320</v>
      </c>
      <c r="H136" s="4">
        <v>41947</v>
      </c>
      <c r="I136" s="5">
        <v>0.58333333333333337</v>
      </c>
      <c r="J136" s="4">
        <v>42040</v>
      </c>
      <c r="K136" s="5">
        <v>0.62043981481481481</v>
      </c>
      <c r="L136" s="3">
        <v>93</v>
      </c>
    </row>
    <row r="137" spans="1:12">
      <c r="A137" s="7" t="s">
        <v>819</v>
      </c>
      <c r="B137" s="2">
        <v>762</v>
      </c>
      <c r="C137" s="2" t="s">
        <v>530</v>
      </c>
      <c r="D137" s="6" t="s">
        <v>76</v>
      </c>
      <c r="E137" s="6" t="s">
        <v>77</v>
      </c>
      <c r="F137" s="6">
        <v>754</v>
      </c>
      <c r="G137" s="1">
        <v>320</v>
      </c>
      <c r="H137" s="4">
        <v>42166</v>
      </c>
      <c r="I137" s="5">
        <v>0</v>
      </c>
      <c r="J137" s="4">
        <v>42281</v>
      </c>
      <c r="K137" s="5">
        <v>0.8792592592592593</v>
      </c>
      <c r="L137" s="3">
        <v>115.9</v>
      </c>
    </row>
    <row r="138" spans="1:12">
      <c r="A138" s="7" t="s">
        <v>817</v>
      </c>
      <c r="B138" s="2">
        <v>762</v>
      </c>
      <c r="C138" s="2" t="s">
        <v>530</v>
      </c>
      <c r="D138" s="6" t="s">
        <v>84</v>
      </c>
      <c r="E138" s="6" t="s">
        <v>85</v>
      </c>
      <c r="F138" s="6">
        <v>760</v>
      </c>
      <c r="G138" s="1">
        <v>320</v>
      </c>
      <c r="H138" s="4">
        <v>42684</v>
      </c>
      <c r="I138" s="5">
        <v>0</v>
      </c>
      <c r="J138" s="4">
        <v>42788</v>
      </c>
      <c r="K138" s="5">
        <v>0.35836805555555556</v>
      </c>
      <c r="L138" s="3">
        <v>104.4</v>
      </c>
    </row>
    <row r="139" spans="1:12">
      <c r="A139" s="7" t="s">
        <v>758</v>
      </c>
      <c r="B139" s="2">
        <v>682</v>
      </c>
      <c r="C139" s="2" t="s">
        <v>530</v>
      </c>
      <c r="D139" s="21" t="s">
        <v>86</v>
      </c>
      <c r="E139" s="21" t="s">
        <v>87</v>
      </c>
      <c r="F139" s="21">
        <v>1000</v>
      </c>
      <c r="G139" s="1">
        <v>200</v>
      </c>
      <c r="H139" s="4">
        <v>41220</v>
      </c>
      <c r="I139" s="5">
        <v>8.3333333333333329E-2</v>
      </c>
      <c r="J139" s="4">
        <v>41352</v>
      </c>
      <c r="K139" s="5">
        <v>0.95052083333333337</v>
      </c>
      <c r="L139" s="3">
        <v>132</v>
      </c>
    </row>
    <row r="140" spans="1:12">
      <c r="A140" s="7" t="s">
        <v>592</v>
      </c>
      <c r="B140" s="2">
        <v>406</v>
      </c>
      <c r="C140" s="2">
        <v>406</v>
      </c>
      <c r="D140" s="6" t="s">
        <v>253</v>
      </c>
      <c r="E140" s="6" t="s">
        <v>254</v>
      </c>
      <c r="F140" s="6">
        <v>1288</v>
      </c>
      <c r="G140" s="1">
        <v>200</v>
      </c>
      <c r="H140" s="4">
        <v>39378</v>
      </c>
      <c r="I140" s="5">
        <v>0.5</v>
      </c>
      <c r="J140" s="4">
        <v>39530</v>
      </c>
      <c r="K140" s="5">
        <v>1.5277777777777777E-2</v>
      </c>
      <c r="L140" s="3">
        <v>152</v>
      </c>
    </row>
    <row r="141" spans="1:12">
      <c r="A141" s="7" t="s">
        <v>610</v>
      </c>
      <c r="B141" s="2">
        <v>453</v>
      </c>
      <c r="C141" s="2" t="s">
        <v>530</v>
      </c>
      <c r="D141" s="6" t="s">
        <v>265</v>
      </c>
      <c r="E141" s="6" t="s">
        <v>266</v>
      </c>
      <c r="F141" s="6">
        <v>1300</v>
      </c>
      <c r="G141" s="1">
        <v>200</v>
      </c>
      <c r="H141" s="4">
        <v>39663</v>
      </c>
      <c r="I141" s="5">
        <v>0.45833333333333331</v>
      </c>
      <c r="J141" s="4">
        <v>39717</v>
      </c>
      <c r="K141" s="5">
        <v>0.72048611111111116</v>
      </c>
      <c r="L141" s="3">
        <v>54</v>
      </c>
    </row>
    <row r="142" spans="1:12">
      <c r="A142" s="7" t="s">
        <v>604</v>
      </c>
      <c r="B142" s="2">
        <v>452</v>
      </c>
      <c r="C142" s="2" t="s">
        <v>530</v>
      </c>
      <c r="D142" s="6" t="s">
        <v>269</v>
      </c>
      <c r="E142" s="6" t="s">
        <v>270</v>
      </c>
      <c r="F142" s="6">
        <v>1295</v>
      </c>
      <c r="G142" s="1">
        <v>200</v>
      </c>
      <c r="H142" s="4">
        <v>39740</v>
      </c>
      <c r="I142" s="5">
        <v>0.5</v>
      </c>
      <c r="J142" s="4">
        <v>39794</v>
      </c>
      <c r="K142" s="5">
        <v>0.76215277777777779</v>
      </c>
      <c r="L142" s="3">
        <v>55</v>
      </c>
    </row>
    <row r="143" spans="1:12">
      <c r="A143" s="7" t="s">
        <v>619</v>
      </c>
      <c r="B143" s="2">
        <v>477</v>
      </c>
      <c r="C143" s="2" t="s">
        <v>530</v>
      </c>
      <c r="D143" s="6" t="s">
        <v>274</v>
      </c>
      <c r="E143" s="6" t="s">
        <v>275</v>
      </c>
      <c r="F143" s="6">
        <v>1317</v>
      </c>
      <c r="G143" s="1">
        <v>200</v>
      </c>
      <c r="H143" s="4">
        <v>39826</v>
      </c>
      <c r="I143" s="5">
        <v>0.75</v>
      </c>
      <c r="J143" s="4">
        <v>39881</v>
      </c>
      <c r="K143" s="5">
        <v>1.3136574074074077E-2</v>
      </c>
      <c r="L143" s="3">
        <v>55</v>
      </c>
    </row>
    <row r="144" spans="1:12">
      <c r="A144" s="7" t="s">
        <v>606</v>
      </c>
      <c r="B144" s="2">
        <v>452</v>
      </c>
      <c r="C144" s="2" t="s">
        <v>530</v>
      </c>
      <c r="D144" s="6" t="s">
        <v>287</v>
      </c>
      <c r="E144" s="6" t="s">
        <v>288</v>
      </c>
      <c r="F144" s="6">
        <v>1308</v>
      </c>
      <c r="G144" s="1">
        <v>200</v>
      </c>
      <c r="H144" s="4">
        <v>39885</v>
      </c>
      <c r="I144" s="5">
        <v>0.83333333333333337</v>
      </c>
      <c r="J144" s="4">
        <v>39940</v>
      </c>
      <c r="K144" s="5">
        <v>9.5486111111111105E-2</v>
      </c>
      <c r="L144" s="3">
        <v>55</v>
      </c>
    </row>
    <row r="145" spans="1:12">
      <c r="A145" s="7" t="s">
        <v>629</v>
      </c>
      <c r="B145" s="2">
        <v>481</v>
      </c>
      <c r="C145" s="2" t="s">
        <v>530</v>
      </c>
      <c r="D145" s="6" t="s">
        <v>295</v>
      </c>
      <c r="E145" s="6" t="s">
        <v>296</v>
      </c>
      <c r="F145" s="6">
        <v>1313</v>
      </c>
      <c r="G145" s="1">
        <v>200</v>
      </c>
      <c r="H145" s="4">
        <v>39952</v>
      </c>
      <c r="I145" s="5">
        <v>0.25</v>
      </c>
      <c r="J145" s="4">
        <v>40006</v>
      </c>
      <c r="K145" s="5">
        <v>0.51250000000000007</v>
      </c>
      <c r="L145" s="3">
        <v>55</v>
      </c>
    </row>
    <row r="146" spans="1:12">
      <c r="A146" s="1" t="s">
        <v>834</v>
      </c>
      <c r="B146" s="2">
        <v>830</v>
      </c>
      <c r="C146" s="2" t="s">
        <v>530</v>
      </c>
      <c r="D146" s="6" t="s">
        <v>407</v>
      </c>
      <c r="E146" s="6" t="s">
        <v>408</v>
      </c>
      <c r="F146" s="6">
        <v>1331</v>
      </c>
      <c r="G146" s="1">
        <v>200</v>
      </c>
      <c r="H146" s="4">
        <v>42799</v>
      </c>
      <c r="I146" s="5">
        <v>0</v>
      </c>
      <c r="J146" s="4">
        <v>42926</v>
      </c>
      <c r="K146" s="5">
        <v>0.65111111111111108</v>
      </c>
      <c r="L146" s="3">
        <v>127.7</v>
      </c>
    </row>
    <row r="147" spans="1:12">
      <c r="A147" s="7" t="s">
        <v>835</v>
      </c>
      <c r="B147" s="2">
        <v>830</v>
      </c>
      <c r="C147" s="2" t="s">
        <v>530</v>
      </c>
      <c r="D147" s="6" t="s">
        <v>409</v>
      </c>
      <c r="E147" s="6" t="s">
        <v>410</v>
      </c>
      <c r="F147" s="6">
        <v>1312</v>
      </c>
      <c r="G147" s="1">
        <v>200</v>
      </c>
      <c r="H147" s="4">
        <v>42927</v>
      </c>
      <c r="I147" s="5">
        <v>0.20833333333333334</v>
      </c>
      <c r="J147" s="4">
        <v>43141</v>
      </c>
      <c r="K147" s="5">
        <v>0.73697916666666663</v>
      </c>
      <c r="L147" s="3">
        <v>214.5</v>
      </c>
    </row>
    <row r="148" spans="1:12">
      <c r="A148" s="7" t="s">
        <v>674</v>
      </c>
      <c r="B148" s="2">
        <v>876</v>
      </c>
      <c r="C148" s="2" t="s">
        <v>530</v>
      </c>
      <c r="D148" s="21" t="s">
        <v>411</v>
      </c>
      <c r="E148" s="21" t="s">
        <v>412</v>
      </c>
      <c r="F148" s="21">
        <v>1300</v>
      </c>
      <c r="G148" s="1">
        <v>200</v>
      </c>
      <c r="H148" s="4">
        <v>43293</v>
      </c>
      <c r="I148" s="5">
        <v>0</v>
      </c>
      <c r="J148" s="4">
        <v>43432</v>
      </c>
      <c r="K148" s="5">
        <v>0.89236111111111116</v>
      </c>
      <c r="L148" s="3">
        <v>139.9</v>
      </c>
    </row>
    <row r="149" spans="1:12">
      <c r="A149" s="7" t="s">
        <v>591</v>
      </c>
      <c r="B149" s="2">
        <v>405</v>
      </c>
      <c r="C149" s="2">
        <v>405</v>
      </c>
      <c r="D149" s="6" t="s">
        <v>247</v>
      </c>
      <c r="E149" s="6" t="s">
        <v>248</v>
      </c>
      <c r="F149" s="6">
        <v>480</v>
      </c>
      <c r="G149" s="1">
        <v>200</v>
      </c>
      <c r="H149" s="4">
        <v>39286</v>
      </c>
      <c r="I149" s="5">
        <v>0.25</v>
      </c>
      <c r="J149" s="4">
        <v>39340</v>
      </c>
      <c r="K149" s="5">
        <v>0.51302083333333337</v>
      </c>
      <c r="L149" s="3">
        <v>55</v>
      </c>
    </row>
    <row r="150" spans="1:12">
      <c r="A150" s="7" t="s">
        <v>597</v>
      </c>
      <c r="B150" s="2">
        <v>413</v>
      </c>
      <c r="C150" s="2" t="s">
        <v>530</v>
      </c>
      <c r="D150" s="6" t="s">
        <v>255</v>
      </c>
      <c r="E150" s="6" t="s">
        <v>256</v>
      </c>
      <c r="F150" s="6">
        <v>471</v>
      </c>
      <c r="G150" s="1">
        <v>200</v>
      </c>
      <c r="H150" s="4">
        <v>39377</v>
      </c>
      <c r="I150" s="5">
        <v>0.5</v>
      </c>
      <c r="J150" s="4">
        <v>39431</v>
      </c>
      <c r="K150" s="5">
        <v>0.76302083333333337</v>
      </c>
      <c r="L150" s="3">
        <v>55</v>
      </c>
    </row>
    <row r="151" spans="1:12">
      <c r="A151" s="7" t="s">
        <v>855</v>
      </c>
      <c r="B151" s="2">
        <v>426</v>
      </c>
      <c r="C151" s="2" t="s">
        <v>530</v>
      </c>
      <c r="D151" s="6" t="s">
        <v>259</v>
      </c>
      <c r="E151" s="6" t="s">
        <v>260</v>
      </c>
      <c r="F151" s="6">
        <v>458</v>
      </c>
      <c r="G151" s="1">
        <v>200</v>
      </c>
      <c r="H151" s="4">
        <v>39460</v>
      </c>
      <c r="I151" s="5">
        <v>0.33333333333333331</v>
      </c>
      <c r="J151" s="4">
        <v>39593</v>
      </c>
      <c r="K151" s="5">
        <v>0.71180555555555547</v>
      </c>
      <c r="L151" s="3">
        <v>133</v>
      </c>
    </row>
    <row r="152" spans="1:12">
      <c r="A152" s="7" t="s">
        <v>612</v>
      </c>
      <c r="B152" s="2">
        <v>454</v>
      </c>
      <c r="C152" s="2" t="s">
        <v>530</v>
      </c>
      <c r="D152" s="6" t="s">
        <v>261</v>
      </c>
      <c r="E152" s="6" t="s">
        <v>262</v>
      </c>
      <c r="F152" s="6">
        <v>435</v>
      </c>
      <c r="G152" s="1">
        <v>200</v>
      </c>
      <c r="H152" s="4">
        <v>39603</v>
      </c>
      <c r="I152" s="5">
        <v>0.33333333333333331</v>
      </c>
      <c r="J152" s="4">
        <v>39657</v>
      </c>
      <c r="K152" s="5">
        <v>9.6354166666666671E-2</v>
      </c>
      <c r="L152" s="3">
        <v>55</v>
      </c>
    </row>
    <row r="153" spans="1:12">
      <c r="A153" s="7" t="s">
        <v>627</v>
      </c>
      <c r="B153" s="2">
        <v>481</v>
      </c>
      <c r="C153" s="2" t="s">
        <v>530</v>
      </c>
      <c r="D153" s="21" t="s">
        <v>276</v>
      </c>
      <c r="E153" s="21" t="s">
        <v>277</v>
      </c>
      <c r="F153" s="6">
        <v>1130</v>
      </c>
      <c r="G153" s="1">
        <v>200</v>
      </c>
      <c r="H153" s="4">
        <v>39826</v>
      </c>
      <c r="I153" s="5">
        <v>8.3333333333333329E-2</v>
      </c>
      <c r="J153" s="4">
        <v>39876</v>
      </c>
      <c r="K153" s="5">
        <v>0.95486111111111116</v>
      </c>
      <c r="L153" s="3">
        <v>50</v>
      </c>
    </row>
    <row r="154" spans="1:12">
      <c r="A154" s="7" t="s">
        <v>625</v>
      </c>
      <c r="B154" s="2">
        <v>480</v>
      </c>
      <c r="C154" s="2" t="s">
        <v>530</v>
      </c>
      <c r="D154" s="6" t="s">
        <v>289</v>
      </c>
      <c r="E154" s="6" t="s">
        <v>290</v>
      </c>
      <c r="F154" s="6">
        <v>1126</v>
      </c>
      <c r="G154" s="1">
        <v>200</v>
      </c>
      <c r="H154" s="4">
        <v>39882</v>
      </c>
      <c r="I154" s="5">
        <v>0.75</v>
      </c>
      <c r="J154" s="4">
        <v>39937</v>
      </c>
      <c r="K154" s="5">
        <v>1.3020833333333334E-2</v>
      </c>
      <c r="L154" s="3">
        <v>56</v>
      </c>
    </row>
    <row r="155" spans="1:12">
      <c r="A155" s="7" t="s">
        <v>590</v>
      </c>
      <c r="B155" s="2">
        <v>400</v>
      </c>
      <c r="C155" s="2">
        <v>406</v>
      </c>
      <c r="D155" s="6" t="s">
        <v>297</v>
      </c>
      <c r="E155" s="6" t="s">
        <v>298</v>
      </c>
      <c r="F155" s="6">
        <v>1126</v>
      </c>
      <c r="G155" s="1">
        <v>200</v>
      </c>
      <c r="H155" s="4">
        <v>39949</v>
      </c>
      <c r="I155" s="5">
        <v>0.625</v>
      </c>
      <c r="J155" s="4">
        <v>40003</v>
      </c>
      <c r="K155" s="5">
        <v>0.88715277777777779</v>
      </c>
      <c r="L155" s="3">
        <v>54</v>
      </c>
    </row>
    <row r="156" spans="1:12">
      <c r="A156" s="7" t="s">
        <v>630</v>
      </c>
      <c r="B156" s="2">
        <v>481</v>
      </c>
      <c r="C156" s="2" t="s">
        <v>530</v>
      </c>
      <c r="D156" s="6" t="s">
        <v>304</v>
      </c>
      <c r="E156" s="6" t="s">
        <v>305</v>
      </c>
      <c r="F156" s="6">
        <v>1106</v>
      </c>
      <c r="G156" s="1">
        <v>200</v>
      </c>
      <c r="H156" s="4">
        <v>40020</v>
      </c>
      <c r="I156" s="5">
        <v>0.25</v>
      </c>
      <c r="J156" s="4">
        <v>40074</v>
      </c>
      <c r="K156" s="5">
        <v>0.51215277777777779</v>
      </c>
      <c r="L156" s="3">
        <v>54</v>
      </c>
    </row>
    <row r="157" spans="1:12">
      <c r="A157" s="7" t="s">
        <v>609</v>
      </c>
      <c r="B157" s="2">
        <v>452</v>
      </c>
      <c r="C157" s="2" t="s">
        <v>530</v>
      </c>
      <c r="D157" s="21" t="s">
        <v>312</v>
      </c>
      <c r="E157" s="21" t="s">
        <v>313</v>
      </c>
      <c r="F157" s="6">
        <v>1108</v>
      </c>
      <c r="G157" s="1">
        <v>200</v>
      </c>
      <c r="H157" s="4">
        <v>40081</v>
      </c>
      <c r="I157" s="5">
        <v>0.5</v>
      </c>
      <c r="J157" s="4">
        <v>40133</v>
      </c>
      <c r="K157" s="5">
        <v>0.51215277777777779</v>
      </c>
      <c r="L157" s="3">
        <v>56</v>
      </c>
    </row>
    <row r="158" spans="1:12">
      <c r="A158" s="30" t="s">
        <v>593</v>
      </c>
      <c r="B158" s="2">
        <v>407</v>
      </c>
      <c r="C158" s="2">
        <v>407</v>
      </c>
      <c r="D158" s="6" t="s">
        <v>249</v>
      </c>
      <c r="E158" s="6" t="s">
        <v>250</v>
      </c>
      <c r="F158" s="6">
        <v>1013</v>
      </c>
      <c r="G158" s="1">
        <v>200</v>
      </c>
      <c r="H158" s="4">
        <v>39287</v>
      </c>
      <c r="I158" s="5">
        <v>0</v>
      </c>
      <c r="J158" s="4">
        <v>39341</v>
      </c>
      <c r="K158" s="5">
        <v>0.26302083333333331</v>
      </c>
      <c r="L158" s="3">
        <v>55</v>
      </c>
    </row>
    <row r="159" spans="1:12">
      <c r="A159" s="7" t="s">
        <v>600</v>
      </c>
      <c r="B159" s="2">
        <v>426</v>
      </c>
      <c r="C159" s="2" t="s">
        <v>530</v>
      </c>
      <c r="D159" s="21" t="s">
        <v>263</v>
      </c>
      <c r="E159" s="21" t="s">
        <v>264</v>
      </c>
      <c r="F159" s="6">
        <v>1012</v>
      </c>
      <c r="G159" s="1">
        <v>200</v>
      </c>
      <c r="H159" s="4">
        <v>39604</v>
      </c>
      <c r="I159" s="5">
        <v>0</v>
      </c>
      <c r="J159" s="4">
        <v>39654</v>
      </c>
      <c r="K159" s="5">
        <v>0.87413194444444453</v>
      </c>
      <c r="L159" s="3">
        <v>51</v>
      </c>
    </row>
    <row r="160" spans="1:12">
      <c r="A160" s="7" t="s">
        <v>603</v>
      </c>
      <c r="B160" s="2">
        <v>452</v>
      </c>
      <c r="C160" s="2" t="s">
        <v>530</v>
      </c>
      <c r="D160" s="6" t="s">
        <v>267</v>
      </c>
      <c r="E160" s="6" t="s">
        <v>268</v>
      </c>
      <c r="F160" s="6">
        <v>1018</v>
      </c>
      <c r="G160" s="1">
        <v>200</v>
      </c>
      <c r="H160" s="4">
        <v>39664</v>
      </c>
      <c r="I160" s="5">
        <v>0.5</v>
      </c>
      <c r="J160" s="4">
        <v>39718</v>
      </c>
      <c r="K160" s="5">
        <v>0.76250000000000007</v>
      </c>
      <c r="L160" s="3">
        <v>54</v>
      </c>
    </row>
    <row r="161" spans="1:12">
      <c r="A161" s="7" t="s">
        <v>611</v>
      </c>
      <c r="B161" s="2">
        <v>453</v>
      </c>
      <c r="C161" s="2" t="s">
        <v>530</v>
      </c>
      <c r="D161" s="6" t="s">
        <v>263</v>
      </c>
      <c r="E161" s="6" t="s">
        <v>271</v>
      </c>
      <c r="F161" s="6">
        <v>1015</v>
      </c>
      <c r="G161" s="1">
        <v>200</v>
      </c>
      <c r="H161" s="4">
        <v>39742</v>
      </c>
      <c r="I161" s="5">
        <v>0</v>
      </c>
      <c r="J161" s="4">
        <v>39796</v>
      </c>
      <c r="K161" s="5">
        <v>0.26041666666666669</v>
      </c>
      <c r="L161" s="3">
        <v>55</v>
      </c>
    </row>
    <row r="162" spans="1:12">
      <c r="A162" s="7" t="s">
        <v>621</v>
      </c>
      <c r="B162" s="2">
        <v>478</v>
      </c>
      <c r="C162" s="2" t="s">
        <v>530</v>
      </c>
      <c r="D162" s="6" t="s">
        <v>272</v>
      </c>
      <c r="E162" s="6" t="s">
        <v>273</v>
      </c>
      <c r="F162" s="6">
        <v>1010</v>
      </c>
      <c r="G162" s="1">
        <v>200</v>
      </c>
      <c r="H162" s="4">
        <v>39803</v>
      </c>
      <c r="I162" s="5">
        <v>0.45833333333333331</v>
      </c>
      <c r="J162" s="4">
        <v>39825</v>
      </c>
      <c r="K162" s="5">
        <v>0.79865740740740743</v>
      </c>
      <c r="L162" s="3">
        <v>23</v>
      </c>
    </row>
    <row r="163" spans="1:12">
      <c r="A163" s="7" t="s">
        <v>632</v>
      </c>
      <c r="B163" s="2">
        <v>482</v>
      </c>
      <c r="C163" s="2" t="s">
        <v>530</v>
      </c>
      <c r="D163" s="6" t="s">
        <v>278</v>
      </c>
      <c r="E163" s="6" t="s">
        <v>279</v>
      </c>
      <c r="F163" s="6">
        <v>1004</v>
      </c>
      <c r="G163" s="1">
        <v>200</v>
      </c>
      <c r="H163" s="4">
        <v>39826</v>
      </c>
      <c r="I163" s="5">
        <v>0</v>
      </c>
      <c r="J163" s="4">
        <v>39880</v>
      </c>
      <c r="K163" s="5">
        <v>0.26314814814814813</v>
      </c>
      <c r="L163" s="3">
        <v>55</v>
      </c>
    </row>
    <row r="164" spans="1:12">
      <c r="A164" s="7" t="s">
        <v>620</v>
      </c>
      <c r="B164" s="2">
        <v>477</v>
      </c>
      <c r="C164" s="2" t="s">
        <v>530</v>
      </c>
      <c r="D164" s="6" t="s">
        <v>278</v>
      </c>
      <c r="E164" s="6" t="s">
        <v>279</v>
      </c>
      <c r="F164" s="6">
        <v>935</v>
      </c>
      <c r="G164" s="1">
        <v>200</v>
      </c>
      <c r="H164" s="4">
        <v>39886</v>
      </c>
      <c r="I164" s="5">
        <v>0</v>
      </c>
      <c r="J164" s="4">
        <v>39940</v>
      </c>
      <c r="K164" s="5">
        <v>0.26313657407407409</v>
      </c>
      <c r="L164" s="3">
        <v>55</v>
      </c>
    </row>
    <row r="165" spans="1:12">
      <c r="A165" s="7" t="s">
        <v>640</v>
      </c>
      <c r="B165" s="2">
        <v>560</v>
      </c>
      <c r="C165" s="2" t="s">
        <v>530</v>
      </c>
      <c r="D165" s="21" t="s">
        <v>306</v>
      </c>
      <c r="E165" s="21" t="s">
        <v>307</v>
      </c>
      <c r="F165" s="6">
        <v>992</v>
      </c>
      <c r="G165" s="1">
        <v>200</v>
      </c>
      <c r="H165" s="4">
        <v>40017</v>
      </c>
      <c r="I165" s="5">
        <v>0.5</v>
      </c>
      <c r="J165" s="4">
        <v>40071</v>
      </c>
      <c r="K165" s="5">
        <v>0.76215277777777779</v>
      </c>
      <c r="L165" s="3">
        <v>54</v>
      </c>
    </row>
    <row r="166" spans="1:12">
      <c r="A166" s="7" t="s">
        <v>631</v>
      </c>
      <c r="B166" s="2">
        <v>481</v>
      </c>
      <c r="C166" s="2" t="s">
        <v>530</v>
      </c>
      <c r="D166" s="6" t="s">
        <v>314</v>
      </c>
      <c r="E166" s="6" t="s">
        <v>315</v>
      </c>
      <c r="F166" s="6">
        <v>995</v>
      </c>
      <c r="G166" s="1">
        <v>200</v>
      </c>
      <c r="H166" s="4">
        <v>40081</v>
      </c>
      <c r="I166" s="5">
        <v>0.625</v>
      </c>
      <c r="J166" s="4">
        <v>40135</v>
      </c>
      <c r="K166" s="5">
        <v>0.88715277777777779</v>
      </c>
      <c r="L166" s="3">
        <v>55</v>
      </c>
    </row>
    <row r="167" spans="1:12">
      <c r="A167" s="7" t="s">
        <v>650</v>
      </c>
      <c r="B167" s="2">
        <v>566</v>
      </c>
      <c r="C167" s="2" t="s">
        <v>530</v>
      </c>
      <c r="D167" s="6" t="s">
        <v>329</v>
      </c>
      <c r="E167" s="6" t="s">
        <v>330</v>
      </c>
      <c r="F167" s="6">
        <v>992</v>
      </c>
      <c r="G167" s="1">
        <v>200</v>
      </c>
      <c r="H167" s="4">
        <v>40208</v>
      </c>
      <c r="I167" s="5">
        <v>0.75</v>
      </c>
      <c r="J167" s="4">
        <v>40259</v>
      </c>
      <c r="K167" s="5">
        <v>0.96961805555555547</v>
      </c>
      <c r="L167" s="3">
        <v>52</v>
      </c>
    </row>
    <row r="168" spans="1:12">
      <c r="A168" s="7" t="s">
        <v>692</v>
      </c>
      <c r="B168" s="2">
        <v>591</v>
      </c>
      <c r="C168" s="2" t="s">
        <v>530</v>
      </c>
      <c r="D168" s="6" t="s">
        <v>348</v>
      </c>
      <c r="E168" s="6" t="s">
        <v>349</v>
      </c>
      <c r="F168" s="6">
        <v>1004</v>
      </c>
      <c r="G168" s="1">
        <v>200</v>
      </c>
      <c r="H168" s="4">
        <v>40382</v>
      </c>
      <c r="I168" s="5">
        <v>0</v>
      </c>
      <c r="J168" s="4">
        <v>40490</v>
      </c>
      <c r="K168" s="5">
        <v>0.39322916666666669</v>
      </c>
      <c r="L168" s="3">
        <v>108</v>
      </c>
    </row>
    <row r="169" spans="1:12">
      <c r="A169" s="7" t="s">
        <v>724</v>
      </c>
      <c r="B169" s="2">
        <v>614</v>
      </c>
      <c r="C169" s="2" t="s">
        <v>530</v>
      </c>
      <c r="D169" s="21" t="s">
        <v>358</v>
      </c>
      <c r="E169" s="21" t="s">
        <v>359</v>
      </c>
      <c r="F169" s="6">
        <v>1002</v>
      </c>
      <c r="G169" s="1">
        <v>200</v>
      </c>
      <c r="H169" s="4">
        <v>40518</v>
      </c>
      <c r="I169" s="5">
        <v>0.83333333333333337</v>
      </c>
      <c r="J169" s="4">
        <v>40650</v>
      </c>
      <c r="K169" s="5">
        <v>0.87326388888888884</v>
      </c>
      <c r="L169" s="3">
        <v>133</v>
      </c>
    </row>
    <row r="170" spans="1:12">
      <c r="A170" s="7" t="s">
        <v>726</v>
      </c>
      <c r="B170" s="2">
        <v>618</v>
      </c>
      <c r="C170" s="2" t="s">
        <v>530</v>
      </c>
      <c r="D170" s="6" t="s">
        <v>365</v>
      </c>
      <c r="E170" s="6" t="s">
        <v>366</v>
      </c>
      <c r="F170" s="6">
        <v>989</v>
      </c>
      <c r="G170" s="1">
        <v>200</v>
      </c>
      <c r="H170" s="4">
        <v>40674</v>
      </c>
      <c r="I170" s="5">
        <v>0.70833333333333337</v>
      </c>
      <c r="J170" s="4">
        <v>40828</v>
      </c>
      <c r="K170" s="5">
        <v>0.66493055555555558</v>
      </c>
      <c r="L170" s="3">
        <v>123</v>
      </c>
    </row>
    <row r="171" spans="1:12">
      <c r="A171" s="7" t="s">
        <v>739</v>
      </c>
      <c r="B171" s="2">
        <v>649</v>
      </c>
      <c r="C171" s="2" t="s">
        <v>530</v>
      </c>
      <c r="D171" s="6" t="s">
        <v>369</v>
      </c>
      <c r="E171" s="6" t="s">
        <v>370</v>
      </c>
      <c r="F171" s="6">
        <v>1008</v>
      </c>
      <c r="G171" s="1">
        <v>200</v>
      </c>
      <c r="H171" s="4">
        <v>40832</v>
      </c>
      <c r="I171" s="5">
        <v>0</v>
      </c>
      <c r="J171" s="4">
        <v>40973</v>
      </c>
      <c r="K171" s="5">
        <v>0.4921875</v>
      </c>
      <c r="L171" s="3">
        <v>126</v>
      </c>
    </row>
    <row r="172" spans="1:12">
      <c r="A172" s="7" t="s">
        <v>794</v>
      </c>
      <c r="B172" s="2">
        <v>723</v>
      </c>
      <c r="C172" s="2" t="s">
        <v>530</v>
      </c>
      <c r="D172" s="6" t="s">
        <v>387</v>
      </c>
      <c r="E172" s="6" t="s">
        <v>388</v>
      </c>
      <c r="F172" s="6">
        <v>1000</v>
      </c>
      <c r="G172" s="1">
        <v>200</v>
      </c>
      <c r="H172" s="4">
        <v>41527</v>
      </c>
      <c r="I172" s="5">
        <v>0.5</v>
      </c>
      <c r="J172" s="4">
        <v>41646</v>
      </c>
      <c r="K172" s="5">
        <v>1.3090277777777779E-2</v>
      </c>
      <c r="L172" s="3">
        <v>118</v>
      </c>
    </row>
    <row r="173" spans="1:12">
      <c r="A173" s="7" t="s">
        <v>804</v>
      </c>
      <c r="B173" s="2">
        <v>729</v>
      </c>
      <c r="C173" s="2" t="s">
        <v>530</v>
      </c>
      <c r="D173" s="6" t="s">
        <v>387</v>
      </c>
      <c r="E173" s="6" t="s">
        <v>388</v>
      </c>
      <c r="F173" s="6">
        <v>960</v>
      </c>
      <c r="G173" s="1">
        <v>200</v>
      </c>
      <c r="H173" s="4">
        <v>41646</v>
      </c>
      <c r="I173" s="5">
        <v>8.3333333333333329E-2</v>
      </c>
      <c r="J173" s="4">
        <v>41732</v>
      </c>
      <c r="K173" s="5">
        <v>0.83420138888888884</v>
      </c>
      <c r="L173" s="3">
        <v>87</v>
      </c>
    </row>
    <row r="174" spans="1:12">
      <c r="A174" s="7" t="s">
        <v>813</v>
      </c>
      <c r="B174" s="2">
        <v>740</v>
      </c>
      <c r="C174" s="2" t="s">
        <v>530</v>
      </c>
      <c r="D174" s="6" t="s">
        <v>90</v>
      </c>
      <c r="E174" s="6" t="s">
        <v>393</v>
      </c>
      <c r="F174" s="6">
        <v>986</v>
      </c>
      <c r="G174" s="1">
        <v>200</v>
      </c>
      <c r="H174" s="4">
        <v>41733</v>
      </c>
      <c r="I174" s="5">
        <v>0</v>
      </c>
      <c r="J174" s="4">
        <v>41850</v>
      </c>
      <c r="K174" s="5">
        <v>0.26743055555555556</v>
      </c>
      <c r="L174" s="3">
        <v>117.3</v>
      </c>
    </row>
    <row r="175" spans="1:12">
      <c r="A175" s="7" t="s">
        <v>808</v>
      </c>
      <c r="B175" s="2">
        <v>734</v>
      </c>
      <c r="C175" s="2" t="s">
        <v>530</v>
      </c>
      <c r="D175" s="6" t="s">
        <v>399</v>
      </c>
      <c r="E175" s="6" t="s">
        <v>400</v>
      </c>
      <c r="F175" s="6">
        <v>1000</v>
      </c>
      <c r="G175" s="1">
        <v>200</v>
      </c>
      <c r="H175" s="4">
        <v>42040</v>
      </c>
      <c r="I175" s="5">
        <v>0</v>
      </c>
      <c r="J175" s="4">
        <v>42156</v>
      </c>
      <c r="K175" s="5">
        <v>0.67802083333333341</v>
      </c>
      <c r="L175" s="3">
        <v>116.7</v>
      </c>
    </row>
    <row r="176" spans="1:12">
      <c r="A176" s="7" t="s">
        <v>785</v>
      </c>
      <c r="B176" s="2">
        <v>711</v>
      </c>
      <c r="C176" s="2" t="s">
        <v>530</v>
      </c>
      <c r="D176" s="6" t="s">
        <v>401</v>
      </c>
      <c r="E176" s="6" t="s">
        <v>402</v>
      </c>
      <c r="F176" s="6">
        <v>1000</v>
      </c>
      <c r="G176" s="1">
        <v>200</v>
      </c>
      <c r="H176" s="4">
        <v>42157</v>
      </c>
      <c r="I176" s="5">
        <v>0</v>
      </c>
      <c r="J176" s="4">
        <v>42280</v>
      </c>
      <c r="K176" s="5">
        <v>1.9166666666666669E-2</v>
      </c>
      <c r="L176" s="3">
        <v>123</v>
      </c>
    </row>
    <row r="177" spans="1:12">
      <c r="A177" s="7" t="s">
        <v>784</v>
      </c>
      <c r="B177" s="2">
        <v>711</v>
      </c>
      <c r="C177" s="2" t="s">
        <v>530</v>
      </c>
      <c r="D177" s="6" t="s">
        <v>413</v>
      </c>
      <c r="E177" s="6" t="s">
        <v>414</v>
      </c>
      <c r="F177" s="6">
        <v>1000</v>
      </c>
      <c r="G177" s="1">
        <v>200</v>
      </c>
      <c r="H177" s="4">
        <v>42329</v>
      </c>
      <c r="I177" s="5">
        <v>0.75</v>
      </c>
      <c r="J177" s="4">
        <v>42485</v>
      </c>
      <c r="K177" s="5">
        <v>0.36899305555555556</v>
      </c>
      <c r="L177" s="3">
        <v>155.6</v>
      </c>
    </row>
    <row r="178" spans="1:12">
      <c r="A178" s="7" t="s">
        <v>772</v>
      </c>
      <c r="B178" s="2">
        <v>700</v>
      </c>
      <c r="C178" s="2" t="s">
        <v>530</v>
      </c>
      <c r="D178" s="6" t="s">
        <v>415</v>
      </c>
      <c r="E178" s="6" t="s">
        <v>416</v>
      </c>
      <c r="F178" s="6">
        <v>1000</v>
      </c>
      <c r="G178" s="1">
        <v>200</v>
      </c>
      <c r="H178" s="4">
        <v>42557</v>
      </c>
      <c r="I178" s="5">
        <v>0.75</v>
      </c>
      <c r="J178" s="4">
        <v>42683</v>
      </c>
      <c r="K178" s="5">
        <v>0.21968750000000001</v>
      </c>
      <c r="L178" s="3">
        <v>125.5</v>
      </c>
    </row>
    <row r="179" spans="1:12">
      <c r="A179" s="7" t="s">
        <v>836</v>
      </c>
      <c r="B179" s="2">
        <v>844</v>
      </c>
      <c r="C179" s="2" t="s">
        <v>530</v>
      </c>
      <c r="D179" s="6" t="s">
        <v>417</v>
      </c>
      <c r="E179" s="6" t="s">
        <v>418</v>
      </c>
      <c r="F179" s="6">
        <v>1000</v>
      </c>
      <c r="G179" s="1">
        <v>200</v>
      </c>
      <c r="H179" s="4">
        <v>42788</v>
      </c>
      <c r="I179" s="5">
        <v>0</v>
      </c>
      <c r="J179" s="4">
        <v>42892</v>
      </c>
      <c r="K179" s="5">
        <v>0.94017361111111108</v>
      </c>
      <c r="L179" s="3">
        <v>104.9</v>
      </c>
    </row>
    <row r="180" spans="1:12">
      <c r="A180" s="7" t="s">
        <v>827</v>
      </c>
      <c r="B180" s="2">
        <v>815</v>
      </c>
      <c r="C180" s="2" t="s">
        <v>530</v>
      </c>
      <c r="D180" s="6" t="s">
        <v>381</v>
      </c>
      <c r="E180" s="6" t="s">
        <v>419</v>
      </c>
      <c r="F180" s="6">
        <v>1000</v>
      </c>
      <c r="G180" s="1">
        <v>200</v>
      </c>
      <c r="H180" s="4">
        <v>43290</v>
      </c>
      <c r="I180" s="5">
        <v>0.75</v>
      </c>
      <c r="J180" s="4">
        <v>43433</v>
      </c>
      <c r="K180" s="5">
        <v>2.34375E-2</v>
      </c>
      <c r="L180" s="3">
        <v>142.30000000000001</v>
      </c>
    </row>
    <row r="181" spans="1:12">
      <c r="A181" s="7" t="s">
        <v>673</v>
      </c>
      <c r="B181" s="2">
        <v>876</v>
      </c>
      <c r="C181" s="2" t="s">
        <v>530</v>
      </c>
      <c r="D181" s="6" t="s">
        <v>420</v>
      </c>
      <c r="E181" s="6" t="s">
        <v>421</v>
      </c>
      <c r="F181" s="6">
        <v>1013</v>
      </c>
      <c r="G181" s="1">
        <v>200</v>
      </c>
      <c r="H181" s="4">
        <v>43433</v>
      </c>
      <c r="I181" s="5">
        <v>0</v>
      </c>
      <c r="J181" s="4">
        <v>43590</v>
      </c>
      <c r="K181" s="5">
        <v>0.75086805555555547</v>
      </c>
      <c r="L181" s="3">
        <v>157.80000000000001</v>
      </c>
    </row>
    <row r="182" spans="1:12">
      <c r="A182" s="7" t="s">
        <v>605</v>
      </c>
      <c r="B182" s="2">
        <v>452</v>
      </c>
      <c r="C182" s="2" t="s">
        <v>530</v>
      </c>
      <c r="D182" s="6" t="s">
        <v>280</v>
      </c>
      <c r="E182" s="6" t="s">
        <v>281</v>
      </c>
      <c r="F182" s="6">
        <v>895</v>
      </c>
      <c r="G182" s="1">
        <v>200</v>
      </c>
      <c r="H182" s="4">
        <v>39826</v>
      </c>
      <c r="I182" s="5">
        <v>0.25</v>
      </c>
      <c r="J182" s="4">
        <v>39880</v>
      </c>
      <c r="K182" s="5">
        <v>0.51265046296296302</v>
      </c>
      <c r="L182" s="3">
        <v>55</v>
      </c>
    </row>
    <row r="183" spans="1:12">
      <c r="A183" s="7" t="s">
        <v>628</v>
      </c>
      <c r="B183" s="2">
        <v>481</v>
      </c>
      <c r="C183" s="2" t="s">
        <v>530</v>
      </c>
      <c r="D183" s="21" t="s">
        <v>291</v>
      </c>
      <c r="E183" s="21" t="s">
        <v>292</v>
      </c>
      <c r="F183" s="6">
        <v>1123</v>
      </c>
      <c r="G183" s="1">
        <v>200</v>
      </c>
      <c r="H183" s="4">
        <v>39883</v>
      </c>
      <c r="I183" s="5">
        <v>0</v>
      </c>
      <c r="J183" s="4">
        <v>39937</v>
      </c>
      <c r="K183" s="5">
        <v>0.26180555555555557</v>
      </c>
      <c r="L183" s="3">
        <v>54</v>
      </c>
    </row>
    <row r="184" spans="1:12">
      <c r="A184" s="7" t="s">
        <v>626</v>
      </c>
      <c r="B184" s="2">
        <v>480</v>
      </c>
      <c r="C184" s="2" t="s">
        <v>530</v>
      </c>
      <c r="D184" s="21" t="s">
        <v>299</v>
      </c>
      <c r="E184" s="21" t="s">
        <v>300</v>
      </c>
      <c r="F184" s="6">
        <v>1120</v>
      </c>
      <c r="G184" s="1">
        <v>200</v>
      </c>
      <c r="H184" s="4">
        <v>39950</v>
      </c>
      <c r="I184" s="5">
        <v>0</v>
      </c>
      <c r="J184" s="4">
        <v>40002</v>
      </c>
      <c r="K184" s="5">
        <v>0.62152777777777779</v>
      </c>
      <c r="L184" s="3">
        <v>52</v>
      </c>
    </row>
    <row r="185" spans="1:12">
      <c r="A185" s="7" t="s">
        <v>608</v>
      </c>
      <c r="B185" s="2">
        <v>452</v>
      </c>
      <c r="C185" s="2" t="s">
        <v>530</v>
      </c>
      <c r="D185" s="6" t="s">
        <v>308</v>
      </c>
      <c r="E185" s="6" t="s">
        <v>309</v>
      </c>
      <c r="F185" s="6">
        <v>902</v>
      </c>
      <c r="G185" s="1">
        <v>200</v>
      </c>
      <c r="H185" s="4">
        <v>40021</v>
      </c>
      <c r="I185" s="5">
        <v>0.5</v>
      </c>
      <c r="J185" s="4">
        <v>40072</v>
      </c>
      <c r="K185" s="5">
        <v>0.56664351851851846</v>
      </c>
      <c r="L185" s="3">
        <v>51</v>
      </c>
    </row>
    <row r="186" spans="1:12">
      <c r="A186" s="7" t="s">
        <v>655</v>
      </c>
      <c r="B186" s="2">
        <v>578</v>
      </c>
      <c r="C186" s="2" t="s">
        <v>530</v>
      </c>
      <c r="D186" s="21" t="s">
        <v>316</v>
      </c>
      <c r="E186" s="21" t="s">
        <v>317</v>
      </c>
      <c r="F186" s="6">
        <v>912</v>
      </c>
      <c r="G186" s="1">
        <v>200</v>
      </c>
      <c r="H186" s="4">
        <v>40081</v>
      </c>
      <c r="I186" s="5">
        <v>0.25</v>
      </c>
      <c r="J186" s="4">
        <v>40134</v>
      </c>
      <c r="K186" s="5">
        <v>0.71388888888888891</v>
      </c>
      <c r="L186" s="3">
        <v>53</v>
      </c>
    </row>
    <row r="187" spans="1:12">
      <c r="A187" s="7" t="s">
        <v>618</v>
      </c>
      <c r="B187" s="2">
        <v>473</v>
      </c>
      <c r="C187" s="2" t="s">
        <v>530</v>
      </c>
      <c r="D187" s="21" t="s">
        <v>331</v>
      </c>
      <c r="E187" s="21" t="s">
        <v>332</v>
      </c>
      <c r="F187" s="6">
        <v>891</v>
      </c>
      <c r="G187" s="1">
        <v>200</v>
      </c>
      <c r="H187" s="4">
        <v>40208</v>
      </c>
      <c r="I187" s="5">
        <v>0</v>
      </c>
      <c r="J187" s="4">
        <v>40262</v>
      </c>
      <c r="K187" s="5">
        <v>0.26302083333333331</v>
      </c>
      <c r="L187" s="3">
        <v>54</v>
      </c>
    </row>
    <row r="188" spans="1:12">
      <c r="A188" s="7" t="s">
        <v>703</v>
      </c>
      <c r="B188" s="2">
        <v>596</v>
      </c>
      <c r="C188" s="2" t="s">
        <v>530</v>
      </c>
      <c r="D188" s="6" t="s">
        <v>339</v>
      </c>
      <c r="E188" s="6" t="s">
        <v>340</v>
      </c>
      <c r="F188" s="6">
        <v>917</v>
      </c>
      <c r="G188" s="1">
        <v>200</v>
      </c>
      <c r="H188" s="4">
        <v>40278</v>
      </c>
      <c r="I188" s="5">
        <v>0</v>
      </c>
      <c r="J188" s="4">
        <v>40371</v>
      </c>
      <c r="K188" s="5">
        <v>0.73958333333333337</v>
      </c>
      <c r="L188" s="3">
        <v>93</v>
      </c>
    </row>
    <row r="189" spans="1:12">
      <c r="A189" s="7" t="s">
        <v>686</v>
      </c>
      <c r="B189" s="2">
        <v>588</v>
      </c>
      <c r="C189" s="2" t="s">
        <v>530</v>
      </c>
      <c r="D189" s="21" t="s">
        <v>350</v>
      </c>
      <c r="E189" s="21" t="s">
        <v>351</v>
      </c>
      <c r="F189" s="6">
        <v>909</v>
      </c>
      <c r="G189" s="1">
        <v>200</v>
      </c>
      <c r="H189" s="4">
        <v>40381</v>
      </c>
      <c r="I189" s="5">
        <v>0</v>
      </c>
      <c r="J189" s="4">
        <v>40489</v>
      </c>
      <c r="K189" s="5">
        <v>0.36804398148148149</v>
      </c>
      <c r="L189" s="3">
        <v>108</v>
      </c>
    </row>
    <row r="190" spans="1:12">
      <c r="A190" s="7" t="s">
        <v>725</v>
      </c>
      <c r="B190" s="2">
        <v>618</v>
      </c>
      <c r="C190" s="2" t="s">
        <v>530</v>
      </c>
      <c r="D190" s="6" t="s">
        <v>339</v>
      </c>
      <c r="E190" s="6" t="s">
        <v>360</v>
      </c>
      <c r="F190" s="6">
        <v>919</v>
      </c>
      <c r="G190" s="1">
        <v>200</v>
      </c>
      <c r="H190" s="4">
        <v>40517</v>
      </c>
      <c r="I190" s="5">
        <v>0.83333333333333337</v>
      </c>
      <c r="J190" s="4">
        <v>40657</v>
      </c>
      <c r="K190" s="5">
        <v>0.36979166666666669</v>
      </c>
      <c r="L190" s="3">
        <v>140</v>
      </c>
    </row>
    <row r="191" spans="1:12">
      <c r="A191" s="7" t="s">
        <v>642</v>
      </c>
      <c r="B191" s="2">
        <v>560</v>
      </c>
      <c r="C191" s="2" t="s">
        <v>530</v>
      </c>
      <c r="D191" s="6" t="s">
        <v>367</v>
      </c>
      <c r="E191" s="6" t="s">
        <v>368</v>
      </c>
      <c r="F191" s="6">
        <v>928</v>
      </c>
      <c r="G191" s="1">
        <v>200</v>
      </c>
      <c r="H191" s="4">
        <v>40674</v>
      </c>
      <c r="I191" s="5">
        <v>0</v>
      </c>
      <c r="J191" s="4">
        <v>40818</v>
      </c>
      <c r="K191" s="5">
        <v>0.42100694444444442</v>
      </c>
      <c r="L191" s="3">
        <v>113</v>
      </c>
    </row>
    <row r="192" spans="1:12">
      <c r="A192" s="7" t="s">
        <v>727</v>
      </c>
      <c r="B192" s="2">
        <v>618</v>
      </c>
      <c r="C192" s="2" t="s">
        <v>530</v>
      </c>
      <c r="D192" s="6" t="s">
        <v>371</v>
      </c>
      <c r="E192" s="6" t="s">
        <v>372</v>
      </c>
      <c r="F192" s="6">
        <v>927</v>
      </c>
      <c r="G192" s="1">
        <v>200</v>
      </c>
      <c r="H192" s="4">
        <v>40843</v>
      </c>
      <c r="I192" s="5">
        <v>0</v>
      </c>
      <c r="J192" s="4">
        <v>40986</v>
      </c>
      <c r="K192" s="5">
        <v>0</v>
      </c>
      <c r="L192" s="3">
        <v>143</v>
      </c>
    </row>
    <row r="193" spans="1:12">
      <c r="A193" s="7" t="s">
        <v>842</v>
      </c>
      <c r="B193" s="2">
        <v>662</v>
      </c>
      <c r="C193" s="2" t="s">
        <v>530</v>
      </c>
      <c r="D193" s="6" t="s">
        <v>375</v>
      </c>
      <c r="E193" s="6" t="s">
        <v>376</v>
      </c>
      <c r="F193" s="6">
        <v>926</v>
      </c>
      <c r="G193" s="1">
        <v>200</v>
      </c>
      <c r="H193" s="4">
        <v>40992</v>
      </c>
      <c r="I193" s="5">
        <v>0</v>
      </c>
      <c r="J193" s="4">
        <v>41112</v>
      </c>
      <c r="K193" s="5">
        <v>0.65277777777777779</v>
      </c>
      <c r="L193" s="3">
        <v>121</v>
      </c>
    </row>
    <row r="194" spans="1:12">
      <c r="A194" s="7" t="s">
        <v>763</v>
      </c>
      <c r="B194" s="2">
        <v>691</v>
      </c>
      <c r="C194" s="2" t="s">
        <v>530</v>
      </c>
      <c r="D194" s="21" t="s">
        <v>382</v>
      </c>
      <c r="E194" s="21" t="s">
        <v>383</v>
      </c>
      <c r="F194" s="6">
        <v>907</v>
      </c>
      <c r="G194" s="1">
        <v>200</v>
      </c>
      <c r="H194" s="4">
        <v>41263</v>
      </c>
      <c r="I194" s="5">
        <v>8.3333333333333329E-2</v>
      </c>
      <c r="J194" s="4">
        <v>41389</v>
      </c>
      <c r="K194" s="5">
        <v>0.77864583333333337</v>
      </c>
      <c r="L194" s="3">
        <v>127</v>
      </c>
    </row>
    <row r="195" spans="1:12">
      <c r="A195" s="7" t="s">
        <v>773</v>
      </c>
      <c r="B195" s="2">
        <v>700</v>
      </c>
      <c r="C195" s="2" t="s">
        <v>530</v>
      </c>
      <c r="D195" s="21" t="s">
        <v>384</v>
      </c>
      <c r="E195" s="21" t="s">
        <v>383</v>
      </c>
      <c r="F195" s="6">
        <v>882</v>
      </c>
      <c r="G195" s="1">
        <v>200</v>
      </c>
      <c r="H195" s="4">
        <v>41394</v>
      </c>
      <c r="I195" s="5">
        <v>0.91666666666666663</v>
      </c>
      <c r="J195" s="4">
        <v>41522</v>
      </c>
      <c r="K195" s="5">
        <v>0.26215277777777779</v>
      </c>
      <c r="L195" s="3">
        <v>127</v>
      </c>
    </row>
    <row r="196" spans="1:12">
      <c r="A196" s="7" t="s">
        <v>796</v>
      </c>
      <c r="B196" s="2">
        <v>724</v>
      </c>
      <c r="C196" s="2" t="s">
        <v>530</v>
      </c>
      <c r="D196" s="6" t="s">
        <v>389</v>
      </c>
      <c r="E196" s="6" t="s">
        <v>390</v>
      </c>
      <c r="F196" s="6">
        <v>907</v>
      </c>
      <c r="G196" s="1">
        <v>200</v>
      </c>
      <c r="H196" s="4">
        <v>41527</v>
      </c>
      <c r="I196" s="5">
        <v>0</v>
      </c>
      <c r="J196" s="4">
        <v>41645</v>
      </c>
      <c r="K196" s="5">
        <v>0.86370370370370375</v>
      </c>
      <c r="L196" s="3">
        <v>119</v>
      </c>
    </row>
    <row r="197" spans="1:12">
      <c r="A197" s="7" t="s">
        <v>856</v>
      </c>
      <c r="B197" s="2">
        <v>731</v>
      </c>
      <c r="C197" s="2" t="s">
        <v>530</v>
      </c>
      <c r="D197" s="6" t="s">
        <v>391</v>
      </c>
      <c r="E197" s="6" t="s">
        <v>392</v>
      </c>
      <c r="F197" s="6">
        <v>877</v>
      </c>
      <c r="G197" s="1">
        <v>200</v>
      </c>
      <c r="H197" s="4">
        <v>41645</v>
      </c>
      <c r="I197" s="5">
        <v>0.91666666666666663</v>
      </c>
      <c r="J197" s="4">
        <v>41733</v>
      </c>
      <c r="K197" s="5">
        <v>0.79774305555555547</v>
      </c>
      <c r="L197" s="3">
        <v>88</v>
      </c>
    </row>
    <row r="198" spans="1:12">
      <c r="A198" s="7" t="s">
        <v>810</v>
      </c>
      <c r="B198" s="2">
        <v>736</v>
      </c>
      <c r="C198" s="2" t="s">
        <v>530</v>
      </c>
      <c r="D198" s="6" t="s">
        <v>394</v>
      </c>
      <c r="E198" s="6" t="s">
        <v>383</v>
      </c>
      <c r="F198" s="6">
        <v>890</v>
      </c>
      <c r="G198" s="1">
        <v>200</v>
      </c>
      <c r="H198" s="4">
        <v>41733</v>
      </c>
      <c r="I198" s="5">
        <v>0.83333333333333337</v>
      </c>
      <c r="J198" s="4">
        <v>41826</v>
      </c>
      <c r="K198" s="5">
        <v>0.35746527777777781</v>
      </c>
      <c r="L198" s="3">
        <v>92.5</v>
      </c>
    </row>
    <row r="199" spans="1:12">
      <c r="A199" s="7" t="s">
        <v>622</v>
      </c>
      <c r="B199" s="2">
        <v>478</v>
      </c>
      <c r="C199" s="2" t="s">
        <v>530</v>
      </c>
      <c r="D199" s="21" t="s">
        <v>282</v>
      </c>
      <c r="E199" s="21" t="s">
        <v>283</v>
      </c>
      <c r="F199" s="6">
        <v>1369</v>
      </c>
      <c r="G199" s="1">
        <v>200</v>
      </c>
      <c r="H199" s="4">
        <v>39827</v>
      </c>
      <c r="I199" s="5">
        <v>0</v>
      </c>
      <c r="J199" s="4">
        <v>39881</v>
      </c>
      <c r="K199" s="5">
        <v>0.26250000000000001</v>
      </c>
      <c r="L199" s="3">
        <v>54</v>
      </c>
    </row>
    <row r="200" spans="1:12">
      <c r="A200" s="7" t="s">
        <v>633</v>
      </c>
      <c r="B200" s="2">
        <v>482</v>
      </c>
      <c r="C200" s="2" t="s">
        <v>530</v>
      </c>
      <c r="D200" s="21" t="s">
        <v>293</v>
      </c>
      <c r="E200" s="21" t="s">
        <v>294</v>
      </c>
      <c r="F200" s="6">
        <v>1295</v>
      </c>
      <c r="G200" s="1">
        <v>200</v>
      </c>
      <c r="H200" s="4">
        <v>39886</v>
      </c>
      <c r="I200" s="5">
        <v>0.25</v>
      </c>
      <c r="J200" s="4">
        <v>39940</v>
      </c>
      <c r="K200" s="5">
        <v>0.51302083333333337</v>
      </c>
      <c r="L200" s="3">
        <v>55</v>
      </c>
    </row>
    <row r="201" spans="1:12">
      <c r="A201" s="7" t="s">
        <v>607</v>
      </c>
      <c r="B201" s="2">
        <v>452</v>
      </c>
      <c r="C201" s="2" t="s">
        <v>530</v>
      </c>
      <c r="D201" s="6" t="s">
        <v>301</v>
      </c>
      <c r="E201" s="6" t="s">
        <v>302</v>
      </c>
      <c r="F201" s="6">
        <v>1295</v>
      </c>
      <c r="G201" s="1">
        <v>200</v>
      </c>
      <c r="H201" s="4">
        <v>39952</v>
      </c>
      <c r="I201" s="5">
        <v>0.625</v>
      </c>
      <c r="J201" s="4">
        <v>40006</v>
      </c>
      <c r="K201" s="5">
        <v>0.88680555555555562</v>
      </c>
      <c r="L201" s="3">
        <v>54</v>
      </c>
    </row>
    <row r="202" spans="1:12">
      <c r="A202" s="7" t="s">
        <v>643</v>
      </c>
      <c r="B202" s="2">
        <v>561</v>
      </c>
      <c r="C202" s="2" t="s">
        <v>530</v>
      </c>
      <c r="D202" s="6" t="s">
        <v>310</v>
      </c>
      <c r="E202" s="6" t="s">
        <v>311</v>
      </c>
      <c r="F202" s="6">
        <v>1287</v>
      </c>
      <c r="G202" s="1">
        <v>200</v>
      </c>
      <c r="H202" s="4">
        <v>40016</v>
      </c>
      <c r="I202" s="5">
        <v>0.83333333333333337</v>
      </c>
      <c r="J202" s="4">
        <v>40071</v>
      </c>
      <c r="K202" s="5">
        <v>9.6354166666666671E-2</v>
      </c>
      <c r="L202" s="3">
        <v>55</v>
      </c>
    </row>
    <row r="203" spans="1:12">
      <c r="A203" s="7" t="s">
        <v>641</v>
      </c>
      <c r="B203" s="2">
        <v>560</v>
      </c>
      <c r="C203" s="2" t="s">
        <v>530</v>
      </c>
      <c r="D203" s="21" t="s">
        <v>318</v>
      </c>
      <c r="E203" s="21" t="s">
        <v>319</v>
      </c>
      <c r="F203" s="6">
        <v>1295</v>
      </c>
      <c r="G203" s="1">
        <v>200</v>
      </c>
      <c r="H203" s="4">
        <v>40082</v>
      </c>
      <c r="I203" s="5">
        <v>0.125</v>
      </c>
      <c r="J203" s="4">
        <v>40136</v>
      </c>
      <c r="K203" s="5">
        <v>0.38715277777777773</v>
      </c>
      <c r="L203" s="3">
        <v>54</v>
      </c>
    </row>
    <row r="204" spans="1:12">
      <c r="A204" s="7" t="s">
        <v>679</v>
      </c>
      <c r="B204" s="2">
        <v>585</v>
      </c>
      <c r="C204" s="2" t="s">
        <v>530</v>
      </c>
      <c r="D204" s="6" t="s">
        <v>310</v>
      </c>
      <c r="E204" s="6" t="s">
        <v>324</v>
      </c>
      <c r="F204" s="6">
        <v>1282</v>
      </c>
      <c r="G204" s="1">
        <v>200</v>
      </c>
      <c r="H204" s="4">
        <v>40153</v>
      </c>
      <c r="I204" s="5">
        <v>0.5</v>
      </c>
      <c r="J204" s="4">
        <v>40204</v>
      </c>
      <c r="K204" s="5">
        <v>0.37065972222222227</v>
      </c>
      <c r="L204" s="3">
        <v>51</v>
      </c>
    </row>
    <row r="205" spans="1:12">
      <c r="A205" s="7" t="s">
        <v>682</v>
      </c>
      <c r="B205" s="2">
        <v>587</v>
      </c>
      <c r="C205" s="2" t="s">
        <v>530</v>
      </c>
      <c r="D205" s="6" t="s">
        <v>333</v>
      </c>
      <c r="E205" s="6" t="s">
        <v>334</v>
      </c>
      <c r="F205" s="6">
        <v>1280</v>
      </c>
      <c r="G205" s="1">
        <v>200</v>
      </c>
      <c r="H205" s="4">
        <v>40209</v>
      </c>
      <c r="I205" s="5">
        <v>0</v>
      </c>
      <c r="J205" s="4">
        <v>40263</v>
      </c>
      <c r="K205" s="5">
        <v>0.26215277777777779</v>
      </c>
      <c r="L205" s="3">
        <v>54</v>
      </c>
    </row>
    <row r="206" spans="1:12">
      <c r="A206" s="7" t="s">
        <v>651</v>
      </c>
      <c r="B206" s="2">
        <v>566</v>
      </c>
      <c r="C206" s="2" t="s">
        <v>530</v>
      </c>
      <c r="D206" s="6" t="s">
        <v>341</v>
      </c>
      <c r="E206" s="6" t="s">
        <v>342</v>
      </c>
      <c r="F206" s="6">
        <v>1284</v>
      </c>
      <c r="G206" s="1">
        <v>200</v>
      </c>
      <c r="H206" s="4">
        <v>40279</v>
      </c>
      <c r="I206" s="5">
        <v>0.125</v>
      </c>
      <c r="J206" s="4">
        <v>40377</v>
      </c>
      <c r="K206" s="5">
        <v>0.90364583333333337</v>
      </c>
      <c r="L206" s="3">
        <v>98</v>
      </c>
    </row>
    <row r="207" spans="1:12">
      <c r="A207" s="7" t="s">
        <v>668</v>
      </c>
      <c r="B207" s="2">
        <v>584</v>
      </c>
      <c r="C207" s="2" t="s">
        <v>530</v>
      </c>
      <c r="D207" s="6" t="s">
        <v>352</v>
      </c>
      <c r="E207" s="6" t="s">
        <v>353</v>
      </c>
      <c r="F207" s="6">
        <v>1288</v>
      </c>
      <c r="G207" s="1">
        <v>200</v>
      </c>
      <c r="H207" s="4">
        <v>40382</v>
      </c>
      <c r="I207" s="5">
        <v>0.58333333333333337</v>
      </c>
      <c r="J207" s="4">
        <v>40490</v>
      </c>
      <c r="K207" s="5">
        <v>0.9765625</v>
      </c>
      <c r="L207" s="3">
        <v>108</v>
      </c>
    </row>
    <row r="208" spans="1:12">
      <c r="A208" s="7" t="s">
        <v>693</v>
      </c>
      <c r="B208" s="2">
        <v>591</v>
      </c>
      <c r="C208" s="2" t="s">
        <v>530</v>
      </c>
      <c r="D208" s="6" t="s">
        <v>361</v>
      </c>
      <c r="E208" s="6" t="s">
        <v>362</v>
      </c>
      <c r="F208" s="6">
        <v>1271</v>
      </c>
      <c r="G208" s="1">
        <v>200</v>
      </c>
      <c r="H208" s="4">
        <v>40519</v>
      </c>
      <c r="I208" s="5">
        <v>0.125</v>
      </c>
      <c r="J208" s="4">
        <v>40642</v>
      </c>
      <c r="K208" s="5">
        <v>0.91840277777777779</v>
      </c>
      <c r="L208" s="3">
        <v>123</v>
      </c>
    </row>
    <row r="209" spans="1:12">
      <c r="A209" s="7" t="s">
        <v>734</v>
      </c>
      <c r="B209" s="2">
        <v>643</v>
      </c>
      <c r="C209" s="2" t="s">
        <v>530</v>
      </c>
      <c r="D209" s="6" t="s">
        <v>373</v>
      </c>
      <c r="E209" s="6" t="s">
        <v>374</v>
      </c>
      <c r="F209" s="6">
        <v>1295</v>
      </c>
      <c r="G209" s="1">
        <v>200</v>
      </c>
      <c r="H209" s="4">
        <v>40832</v>
      </c>
      <c r="I209" s="5">
        <v>0</v>
      </c>
      <c r="J209" s="4">
        <v>40952</v>
      </c>
      <c r="K209" s="5">
        <v>0.77824074074074068</v>
      </c>
      <c r="L209" s="3">
        <v>121</v>
      </c>
    </row>
    <row r="210" spans="1:12">
      <c r="A210" s="7" t="s">
        <v>735</v>
      </c>
      <c r="B210" s="2">
        <v>643</v>
      </c>
      <c r="C210" s="2" t="s">
        <v>530</v>
      </c>
      <c r="D210" s="6" t="s">
        <v>377</v>
      </c>
      <c r="E210" s="6" t="s">
        <v>378</v>
      </c>
      <c r="F210" s="6">
        <v>1292</v>
      </c>
      <c r="G210" s="1">
        <v>200</v>
      </c>
      <c r="H210" s="4">
        <v>40993</v>
      </c>
      <c r="I210" s="5">
        <v>0</v>
      </c>
      <c r="J210" s="4">
        <v>41126</v>
      </c>
      <c r="K210" s="5">
        <v>0.84027777777777779</v>
      </c>
      <c r="L210" s="3">
        <v>134</v>
      </c>
    </row>
    <row r="211" spans="1:12">
      <c r="A211" s="7" t="s">
        <v>843</v>
      </c>
      <c r="B211" s="2">
        <v>668</v>
      </c>
      <c r="C211" s="2" t="s">
        <v>530</v>
      </c>
      <c r="D211" s="6" t="s">
        <v>379</v>
      </c>
      <c r="E211" s="6" t="s">
        <v>380</v>
      </c>
      <c r="F211" s="6">
        <v>1285</v>
      </c>
      <c r="G211" s="1">
        <v>200</v>
      </c>
      <c r="H211" s="4">
        <v>41131</v>
      </c>
      <c r="I211" s="5">
        <v>0.5</v>
      </c>
      <c r="J211" s="4">
        <v>41249</v>
      </c>
      <c r="K211" s="5">
        <v>0.48524305555555558</v>
      </c>
      <c r="L211" s="3">
        <v>119</v>
      </c>
    </row>
    <row r="212" spans="1:12">
      <c r="A212" s="7" t="s">
        <v>750</v>
      </c>
      <c r="B212" s="2">
        <v>672</v>
      </c>
      <c r="C212" s="2" t="s">
        <v>530</v>
      </c>
      <c r="D212" s="6" t="s">
        <v>385</v>
      </c>
      <c r="E212" s="6" t="s">
        <v>386</v>
      </c>
      <c r="F212" s="6">
        <v>1292</v>
      </c>
      <c r="G212" s="1">
        <v>200</v>
      </c>
      <c r="H212" s="4">
        <v>41396</v>
      </c>
      <c r="I212" s="5">
        <v>0.75</v>
      </c>
      <c r="J212" s="4">
        <v>41528</v>
      </c>
      <c r="K212" s="5">
        <v>0.3142361111111111</v>
      </c>
      <c r="L212" s="3">
        <v>131</v>
      </c>
    </row>
    <row r="213" spans="1:12">
      <c r="A213" s="7" t="s">
        <v>811</v>
      </c>
      <c r="B213" s="2">
        <v>738</v>
      </c>
      <c r="C213" s="2" t="s">
        <v>530</v>
      </c>
      <c r="D213" s="6" t="s">
        <v>301</v>
      </c>
      <c r="E213" s="6" t="s">
        <v>395</v>
      </c>
      <c r="F213" s="6">
        <v>1154</v>
      </c>
      <c r="G213" s="1">
        <v>200</v>
      </c>
      <c r="H213" s="4">
        <v>41733</v>
      </c>
      <c r="I213" s="5">
        <v>0.16665509259259259</v>
      </c>
      <c r="J213" s="4">
        <v>41850</v>
      </c>
      <c r="K213" s="5">
        <v>0.55814814814814817</v>
      </c>
      <c r="L213" s="3">
        <v>117.4</v>
      </c>
    </row>
    <row r="214" spans="1:12">
      <c r="A214" s="7" t="s">
        <v>814</v>
      </c>
      <c r="B214" s="2">
        <v>740</v>
      </c>
      <c r="C214" s="2" t="s">
        <v>530</v>
      </c>
      <c r="D214" s="6" t="s">
        <v>396</v>
      </c>
      <c r="E214" s="6" t="s">
        <v>397</v>
      </c>
      <c r="F214" s="6">
        <v>1260</v>
      </c>
      <c r="G214" s="1">
        <v>200</v>
      </c>
      <c r="H214" s="4">
        <v>41850</v>
      </c>
      <c r="I214" s="5">
        <v>0.75</v>
      </c>
      <c r="J214" s="4">
        <v>41948</v>
      </c>
      <c r="K214" s="5">
        <v>0.33513888888888888</v>
      </c>
      <c r="L214" s="3">
        <v>97.6</v>
      </c>
    </row>
    <row r="215" spans="1:12">
      <c r="A215" s="7" t="s">
        <v>777</v>
      </c>
      <c r="B215" s="2">
        <v>706</v>
      </c>
      <c r="C215" s="2" t="s">
        <v>530</v>
      </c>
      <c r="D215" s="6" t="s">
        <v>403</v>
      </c>
      <c r="E215" s="6" t="s">
        <v>404</v>
      </c>
      <c r="F215" s="6">
        <v>1260</v>
      </c>
      <c r="G215" s="1">
        <v>200</v>
      </c>
      <c r="H215" s="4">
        <v>42157</v>
      </c>
      <c r="I215" s="5">
        <v>0</v>
      </c>
      <c r="J215" s="4">
        <v>42280</v>
      </c>
      <c r="K215" s="5">
        <v>0.61986111111111108</v>
      </c>
      <c r="L215" s="3">
        <v>123.6</v>
      </c>
    </row>
    <row r="216" spans="1:12">
      <c r="A216" s="7" t="s">
        <v>797</v>
      </c>
      <c r="B216" s="2">
        <v>724</v>
      </c>
      <c r="C216" s="2" t="s">
        <v>530</v>
      </c>
      <c r="D216" s="6" t="s">
        <v>405</v>
      </c>
      <c r="E216" s="6" t="s">
        <v>406</v>
      </c>
      <c r="F216" s="6">
        <v>1260</v>
      </c>
      <c r="G216" s="1">
        <v>200</v>
      </c>
      <c r="H216" s="4">
        <v>42280</v>
      </c>
      <c r="I216" s="5">
        <v>0.75</v>
      </c>
      <c r="J216" s="4">
        <v>42329</v>
      </c>
      <c r="K216" s="5">
        <v>0.42881944444444442</v>
      </c>
      <c r="L216" s="3">
        <v>48.7</v>
      </c>
    </row>
    <row r="217" spans="1:12">
      <c r="A217" s="7" t="s">
        <v>816</v>
      </c>
      <c r="B217" s="2">
        <v>742</v>
      </c>
      <c r="C217" s="2" t="s">
        <v>530</v>
      </c>
      <c r="D217" s="6" t="s">
        <v>423</v>
      </c>
      <c r="E217" s="6" t="s">
        <v>424</v>
      </c>
      <c r="F217" s="6">
        <v>1200</v>
      </c>
      <c r="G217" s="1">
        <v>200</v>
      </c>
      <c r="H217" s="4">
        <v>42558</v>
      </c>
      <c r="I217" s="5">
        <v>0</v>
      </c>
      <c r="J217" s="4">
        <v>42682</v>
      </c>
      <c r="K217" s="5">
        <v>0.99826388888888884</v>
      </c>
      <c r="L217" s="3">
        <v>125</v>
      </c>
    </row>
    <row r="218" spans="1:12">
      <c r="A218" s="7" t="s">
        <v>841</v>
      </c>
      <c r="B218" s="2">
        <v>857</v>
      </c>
      <c r="C218" s="2" t="s">
        <v>530</v>
      </c>
      <c r="D218" s="6" t="s">
        <v>425</v>
      </c>
      <c r="E218" s="6" t="s">
        <v>422</v>
      </c>
      <c r="F218" s="6">
        <v>1300</v>
      </c>
      <c r="G218" s="1">
        <v>200</v>
      </c>
      <c r="H218" s="4">
        <v>42787</v>
      </c>
      <c r="I218" s="5">
        <v>0.75</v>
      </c>
      <c r="J218" s="4">
        <v>42893</v>
      </c>
      <c r="K218" s="5">
        <v>8.2465277777777776E-2</v>
      </c>
      <c r="L218" s="3">
        <v>105.3</v>
      </c>
    </row>
    <row r="219" spans="1:12">
      <c r="A219" s="7" t="s">
        <v>824</v>
      </c>
      <c r="B219" s="2">
        <v>809</v>
      </c>
      <c r="C219" s="2" t="s">
        <v>530</v>
      </c>
      <c r="D219" s="6" t="s">
        <v>426</v>
      </c>
      <c r="E219" s="6" t="s">
        <v>427</v>
      </c>
      <c r="F219" s="6">
        <v>1300</v>
      </c>
      <c r="G219" s="1">
        <v>200</v>
      </c>
      <c r="H219" s="4">
        <v>42893</v>
      </c>
      <c r="I219" s="5">
        <v>0.25</v>
      </c>
      <c r="J219" s="4">
        <v>43090</v>
      </c>
      <c r="K219" s="5">
        <v>4.3472222222222225E-2</v>
      </c>
      <c r="L219" s="3">
        <v>196.8</v>
      </c>
    </row>
    <row r="220" spans="1:12">
      <c r="A220" s="7" t="s">
        <v>828</v>
      </c>
      <c r="B220" s="2">
        <v>815</v>
      </c>
      <c r="C220" s="2" t="s">
        <v>530</v>
      </c>
      <c r="D220" s="6" t="s">
        <v>428</v>
      </c>
      <c r="E220" s="6" t="s">
        <v>429</v>
      </c>
      <c r="F220" s="6">
        <v>1296</v>
      </c>
      <c r="G220" s="1">
        <v>200</v>
      </c>
      <c r="H220" s="4">
        <v>43135</v>
      </c>
      <c r="I220" s="5">
        <v>0</v>
      </c>
      <c r="J220" s="4">
        <v>43290</v>
      </c>
      <c r="K220" s="5">
        <v>0.11458333333333333</v>
      </c>
      <c r="L220" s="3">
        <v>155.1</v>
      </c>
    </row>
    <row r="221" spans="1:12">
      <c r="A221" s="7" t="s">
        <v>825</v>
      </c>
      <c r="B221" s="2">
        <v>809</v>
      </c>
      <c r="C221" s="2" t="s">
        <v>530</v>
      </c>
      <c r="D221" s="6" t="s">
        <v>430</v>
      </c>
      <c r="E221" s="6" t="s">
        <v>431</v>
      </c>
      <c r="F221" s="6">
        <v>1290</v>
      </c>
      <c r="G221" s="1">
        <v>200</v>
      </c>
      <c r="H221" s="4">
        <v>43290</v>
      </c>
      <c r="I221" s="5">
        <v>0.25</v>
      </c>
      <c r="J221" s="4">
        <v>43432</v>
      </c>
      <c r="K221" s="5">
        <v>0.67100694444444453</v>
      </c>
      <c r="L221" s="3">
        <v>142.4</v>
      </c>
    </row>
    <row r="222" spans="1:12">
      <c r="A222" s="7" t="s">
        <v>684</v>
      </c>
      <c r="B222" s="2">
        <v>588</v>
      </c>
      <c r="C222" s="2" t="s">
        <v>530</v>
      </c>
      <c r="D222" s="6" t="s">
        <v>320</v>
      </c>
      <c r="E222" s="6" t="s">
        <v>321</v>
      </c>
      <c r="F222" s="6">
        <v>477</v>
      </c>
      <c r="G222" s="1">
        <v>200</v>
      </c>
      <c r="H222" s="4">
        <v>40151</v>
      </c>
      <c r="I222" s="5">
        <v>0.91666666666666663</v>
      </c>
      <c r="J222" s="4">
        <v>40190</v>
      </c>
      <c r="K222" s="5">
        <v>0.9819444444444444</v>
      </c>
      <c r="L222" s="3">
        <v>39</v>
      </c>
    </row>
    <row r="223" spans="1:12">
      <c r="A223" s="7" t="s">
        <v>849</v>
      </c>
      <c r="B223" s="2">
        <v>641</v>
      </c>
      <c r="D223" s="1" t="s">
        <v>732</v>
      </c>
      <c r="E223" s="1" t="s">
        <v>733</v>
      </c>
      <c r="F223" s="1">
        <v>1412</v>
      </c>
      <c r="H223" s="4">
        <v>40877</v>
      </c>
      <c r="I223" s="5"/>
      <c r="J223" s="4">
        <v>41084</v>
      </c>
      <c r="K223" s="5"/>
      <c r="L223" s="3">
        <v>207</v>
      </c>
    </row>
    <row r="224" spans="1:12">
      <c r="A224" s="7" t="s">
        <v>850</v>
      </c>
      <c r="B224" s="2">
        <v>486</v>
      </c>
      <c r="C224" s="1"/>
      <c r="D224" s="1" t="s">
        <v>634</v>
      </c>
      <c r="E224" s="1" t="s">
        <v>635</v>
      </c>
      <c r="F224" s="1">
        <v>847</v>
      </c>
      <c r="H224" s="4">
        <v>39934</v>
      </c>
      <c r="I224" s="5"/>
      <c r="J224" s="4">
        <v>40078</v>
      </c>
      <c r="K224" s="5"/>
      <c r="L224" s="1">
        <v>144.19999999999999</v>
      </c>
    </row>
    <row r="225" spans="1:12">
      <c r="A225" s="7" t="s">
        <v>851</v>
      </c>
      <c r="B225" s="2">
        <v>486</v>
      </c>
      <c r="C225" s="1"/>
      <c r="D225" s="1" t="s">
        <v>636</v>
      </c>
      <c r="E225" s="1" t="s">
        <v>637</v>
      </c>
      <c r="F225" s="1">
        <v>837</v>
      </c>
      <c r="H225" s="4">
        <v>40235</v>
      </c>
      <c r="I225" s="5"/>
      <c r="J225" s="4">
        <v>40485</v>
      </c>
      <c r="K225" s="5"/>
      <c r="L225" s="1">
        <v>250</v>
      </c>
    </row>
    <row r="226" spans="1:12">
      <c r="A226" s="7" t="s">
        <v>852</v>
      </c>
      <c r="B226" s="2">
        <v>627</v>
      </c>
      <c r="D226" s="1" t="s">
        <v>730</v>
      </c>
      <c r="E226" s="1" t="s">
        <v>731</v>
      </c>
      <c r="F226" s="1">
        <v>850</v>
      </c>
      <c r="H226" s="4">
        <v>40715</v>
      </c>
      <c r="I226" s="5"/>
      <c r="J226" s="4">
        <v>41006</v>
      </c>
      <c r="K226" s="5"/>
      <c r="L226" s="3">
        <v>291</v>
      </c>
    </row>
    <row r="227" spans="1:12">
      <c r="A227" s="7" t="s">
        <v>649</v>
      </c>
      <c r="B227" s="2">
        <v>566</v>
      </c>
      <c r="C227" s="2" t="s">
        <v>530</v>
      </c>
      <c r="D227" s="6" t="s">
        <v>322</v>
      </c>
      <c r="E227" s="6" t="s">
        <v>323</v>
      </c>
      <c r="F227" s="6">
        <v>682</v>
      </c>
      <c r="G227" s="1">
        <v>200</v>
      </c>
      <c r="H227" s="4">
        <v>40080</v>
      </c>
      <c r="I227" s="5">
        <v>0.5</v>
      </c>
      <c r="J227" s="4">
        <v>40134</v>
      </c>
      <c r="K227" s="5">
        <v>0.76215277777777779</v>
      </c>
      <c r="L227" s="3">
        <v>55</v>
      </c>
    </row>
    <row r="228" spans="1:12">
      <c r="A228" s="7" t="s">
        <v>666</v>
      </c>
      <c r="B228" s="2">
        <v>584</v>
      </c>
      <c r="C228" s="2" t="s">
        <v>530</v>
      </c>
      <c r="D228" s="6" t="s">
        <v>325</v>
      </c>
      <c r="E228" s="6" t="s">
        <v>326</v>
      </c>
      <c r="F228" s="6">
        <v>687</v>
      </c>
      <c r="G228" s="1">
        <v>200</v>
      </c>
      <c r="H228" s="4">
        <v>40151</v>
      </c>
      <c r="I228" s="5">
        <v>0.75</v>
      </c>
      <c r="J228" s="4">
        <v>40203</v>
      </c>
      <c r="K228" s="5">
        <v>0.65290509259259266</v>
      </c>
      <c r="L228" s="3">
        <v>52</v>
      </c>
    </row>
    <row r="229" spans="1:12">
      <c r="A229" s="7" t="s">
        <v>685</v>
      </c>
      <c r="B229" s="2">
        <v>588</v>
      </c>
      <c r="C229" s="2" t="s">
        <v>530</v>
      </c>
      <c r="D229" s="6" t="s">
        <v>343</v>
      </c>
      <c r="E229" s="6" t="s">
        <v>344</v>
      </c>
      <c r="F229" s="6">
        <v>671</v>
      </c>
      <c r="G229" s="1">
        <v>200</v>
      </c>
      <c r="H229" s="4">
        <v>40277</v>
      </c>
      <c r="I229" s="5">
        <v>0.75</v>
      </c>
      <c r="J229" s="4">
        <v>40380</v>
      </c>
      <c r="K229" s="5">
        <v>0.52517361111111105</v>
      </c>
      <c r="L229" s="3">
        <v>103</v>
      </c>
    </row>
    <row r="230" spans="1:12">
      <c r="A230" s="7" t="s">
        <v>656</v>
      </c>
      <c r="B230" s="2">
        <v>578</v>
      </c>
      <c r="C230" s="2" t="s">
        <v>530</v>
      </c>
      <c r="D230" s="6" t="s">
        <v>327</v>
      </c>
      <c r="E230" s="6" t="s">
        <v>328</v>
      </c>
      <c r="F230" s="6">
        <v>1200</v>
      </c>
      <c r="G230" s="1">
        <v>200</v>
      </c>
      <c r="H230" s="4">
        <v>40155</v>
      </c>
      <c r="I230" s="5">
        <v>0.375</v>
      </c>
      <c r="J230" s="4">
        <v>40206</v>
      </c>
      <c r="K230" s="5">
        <v>0.60329861111111105</v>
      </c>
      <c r="L230" s="3">
        <v>51</v>
      </c>
    </row>
    <row r="231" spans="1:12">
      <c r="A231" s="7" t="s">
        <v>667</v>
      </c>
      <c r="B231" s="2">
        <v>584</v>
      </c>
      <c r="C231" s="2" t="s">
        <v>530</v>
      </c>
      <c r="D231" s="6" t="s">
        <v>335</v>
      </c>
      <c r="E231" s="6" t="s">
        <v>336</v>
      </c>
      <c r="F231" s="6">
        <v>1188</v>
      </c>
      <c r="G231" s="1">
        <v>200</v>
      </c>
      <c r="H231" s="4">
        <v>40208</v>
      </c>
      <c r="I231" s="5">
        <v>0.41666666666666669</v>
      </c>
      <c r="J231" s="4">
        <v>40262</v>
      </c>
      <c r="K231" s="5">
        <v>0.67847222222222225</v>
      </c>
      <c r="L231" s="3">
        <v>54</v>
      </c>
    </row>
    <row r="232" spans="1:12">
      <c r="A232" s="7" t="s">
        <v>691</v>
      </c>
      <c r="B232" s="2">
        <v>591</v>
      </c>
      <c r="C232" s="2" t="s">
        <v>530</v>
      </c>
      <c r="D232" s="21" t="s">
        <v>345</v>
      </c>
      <c r="E232" s="21" t="s">
        <v>346</v>
      </c>
      <c r="F232" s="6">
        <v>1202</v>
      </c>
      <c r="G232" s="1">
        <v>200</v>
      </c>
      <c r="H232" s="4">
        <v>40278</v>
      </c>
      <c r="I232" s="5">
        <v>0.25</v>
      </c>
      <c r="J232" s="4">
        <v>40379</v>
      </c>
      <c r="K232" s="5">
        <v>7.4652777777777776E-2</v>
      </c>
      <c r="L232" s="3">
        <v>47</v>
      </c>
    </row>
    <row r="233" spans="1:12">
      <c r="A233" s="7" t="s">
        <v>704</v>
      </c>
      <c r="B233" s="2">
        <v>596</v>
      </c>
      <c r="C233" s="2" t="s">
        <v>530</v>
      </c>
      <c r="D233" s="6" t="s">
        <v>354</v>
      </c>
      <c r="E233" s="6" t="s">
        <v>355</v>
      </c>
      <c r="F233" s="6">
        <v>1197</v>
      </c>
      <c r="G233" s="1">
        <v>200</v>
      </c>
      <c r="H233" s="4">
        <v>40381</v>
      </c>
      <c r="I233" s="5">
        <v>0.25</v>
      </c>
      <c r="J233" s="4">
        <v>40476</v>
      </c>
      <c r="K233" s="5">
        <v>5.46875E-2</v>
      </c>
      <c r="L233" s="3">
        <v>95</v>
      </c>
    </row>
    <row r="234" spans="1:12">
      <c r="A234" s="7" t="s">
        <v>680</v>
      </c>
      <c r="B234" s="2">
        <v>585</v>
      </c>
      <c r="C234" s="2" t="s">
        <v>530</v>
      </c>
      <c r="D234" s="6" t="s">
        <v>337</v>
      </c>
      <c r="E234" s="6" t="s">
        <v>338</v>
      </c>
      <c r="F234" s="6">
        <v>1375</v>
      </c>
      <c r="G234" s="1">
        <v>200</v>
      </c>
      <c r="H234" s="4">
        <v>40209</v>
      </c>
      <c r="I234" s="5">
        <v>0.16666666666666666</v>
      </c>
      <c r="J234" s="4">
        <v>40257</v>
      </c>
      <c r="K234" s="5">
        <v>0.47222222222222227</v>
      </c>
      <c r="L234" s="3">
        <v>48</v>
      </c>
    </row>
    <row r="235" spans="1:12">
      <c r="A235" s="7" t="s">
        <v>683</v>
      </c>
      <c r="B235" s="2">
        <v>587</v>
      </c>
      <c r="C235" s="2" t="s">
        <v>530</v>
      </c>
      <c r="D235" s="6" t="s">
        <v>337</v>
      </c>
      <c r="E235" s="6" t="s">
        <v>347</v>
      </c>
      <c r="F235" s="6">
        <v>1380</v>
      </c>
      <c r="G235" s="1">
        <v>200</v>
      </c>
      <c r="H235" s="4">
        <v>40279</v>
      </c>
      <c r="I235" s="5">
        <v>0.25</v>
      </c>
      <c r="J235" s="4">
        <v>40369</v>
      </c>
      <c r="K235" s="5">
        <v>3.0381944444444444E-2</v>
      </c>
      <c r="L235" s="3">
        <v>90</v>
      </c>
    </row>
    <row r="236" spans="1:12">
      <c r="A236" s="7" t="s">
        <v>652</v>
      </c>
      <c r="B236" s="2">
        <v>566</v>
      </c>
      <c r="C236" s="2" t="s">
        <v>530</v>
      </c>
      <c r="D236" s="6" t="s">
        <v>356</v>
      </c>
      <c r="E236" s="6" t="s">
        <v>357</v>
      </c>
      <c r="F236" s="6">
        <v>1388</v>
      </c>
      <c r="G236" s="1">
        <v>200</v>
      </c>
      <c r="H236" s="4">
        <v>40382</v>
      </c>
      <c r="I236" s="5">
        <v>0.61388888888888882</v>
      </c>
      <c r="J236" s="4">
        <v>40408</v>
      </c>
      <c r="K236" s="5">
        <v>0.52409722222222221</v>
      </c>
      <c r="L236" s="3">
        <v>27</v>
      </c>
    </row>
    <row r="237" spans="1:12">
      <c r="A237" s="7" t="s">
        <v>653</v>
      </c>
      <c r="B237" s="2">
        <v>566</v>
      </c>
      <c r="C237" s="2" t="s">
        <v>530</v>
      </c>
      <c r="D237" s="6" t="s">
        <v>363</v>
      </c>
      <c r="E237" s="6" t="s">
        <v>364</v>
      </c>
      <c r="F237" s="6">
        <v>1380</v>
      </c>
      <c r="G237" s="1">
        <v>200</v>
      </c>
      <c r="H237" s="4">
        <v>40519</v>
      </c>
      <c r="I237" s="5">
        <v>0.83333333333333337</v>
      </c>
      <c r="J237" s="4">
        <v>40664</v>
      </c>
      <c r="K237" s="5">
        <v>0.52430555555555558</v>
      </c>
      <c r="L237" s="3">
        <v>145</v>
      </c>
    </row>
    <row r="238" spans="1:12">
      <c r="A238" s="7" t="s">
        <v>853</v>
      </c>
      <c r="B238" s="2">
        <v>611</v>
      </c>
      <c r="D238" s="1" t="s">
        <v>721</v>
      </c>
      <c r="E238" s="1" t="s">
        <v>722</v>
      </c>
      <c r="F238" s="1">
        <v>1086</v>
      </c>
      <c r="H238" s="4">
        <v>40381</v>
      </c>
      <c r="I238" s="5"/>
      <c r="J238" s="4">
        <v>40488</v>
      </c>
      <c r="K238" s="5"/>
      <c r="L238" s="3">
        <v>107</v>
      </c>
    </row>
    <row r="239" spans="1:12">
      <c r="A239" s="7" t="s">
        <v>580</v>
      </c>
      <c r="B239" s="2">
        <v>731</v>
      </c>
      <c r="C239" s="2" t="s">
        <v>530</v>
      </c>
      <c r="D239" s="6" t="s">
        <v>432</v>
      </c>
      <c r="E239" s="6" t="s">
        <v>433</v>
      </c>
      <c r="F239" s="6">
        <v>1289</v>
      </c>
      <c r="G239" s="1">
        <v>200</v>
      </c>
      <c r="H239" s="4">
        <v>42166</v>
      </c>
      <c r="I239" s="5">
        <v>0.875</v>
      </c>
      <c r="J239" s="4">
        <v>42279</v>
      </c>
      <c r="K239" s="5">
        <v>0.81380787037037028</v>
      </c>
      <c r="L239" s="3">
        <v>112.9</v>
      </c>
    </row>
    <row r="240" spans="1:12">
      <c r="A240" s="7" t="s">
        <v>581</v>
      </c>
      <c r="B240" s="2">
        <v>731</v>
      </c>
      <c r="C240" s="2" t="s">
        <v>530</v>
      </c>
      <c r="D240" s="6" t="s">
        <v>398</v>
      </c>
      <c r="E240" s="6" t="s">
        <v>434</v>
      </c>
      <c r="F240" s="6">
        <v>1090</v>
      </c>
      <c r="G240" s="1">
        <v>200</v>
      </c>
      <c r="H240" s="4">
        <v>42446</v>
      </c>
      <c r="I240" s="5">
        <v>0.5</v>
      </c>
      <c r="J240" s="4">
        <v>42742</v>
      </c>
      <c r="K240" s="5">
        <v>0.49224537037037036</v>
      </c>
      <c r="L240" s="3">
        <v>296</v>
      </c>
    </row>
    <row r="241" spans="1:12">
      <c r="A241" s="7" t="s">
        <v>582</v>
      </c>
      <c r="B241" s="2">
        <v>738</v>
      </c>
      <c r="C241" s="2" t="s">
        <v>530</v>
      </c>
      <c r="D241" s="6" t="s">
        <v>435</v>
      </c>
      <c r="E241" s="6" t="s">
        <v>303</v>
      </c>
      <c r="F241" s="6">
        <v>1090</v>
      </c>
      <c r="G241" s="1">
        <v>200</v>
      </c>
      <c r="H241" s="4">
        <v>42799</v>
      </c>
      <c r="I241" s="5">
        <v>0</v>
      </c>
      <c r="J241" s="4">
        <v>42988</v>
      </c>
      <c r="K241" s="5">
        <v>0.74572916666666667</v>
      </c>
      <c r="L241" s="3">
        <v>189.7</v>
      </c>
    </row>
    <row r="242" spans="1:12">
      <c r="A242" s="7" t="s">
        <v>583</v>
      </c>
      <c r="B242" s="2">
        <v>738</v>
      </c>
      <c r="C242" s="2" t="s">
        <v>530</v>
      </c>
      <c r="D242" s="6" t="s">
        <v>436</v>
      </c>
      <c r="E242" s="6" t="s">
        <v>437</v>
      </c>
      <c r="F242" s="6">
        <v>1090</v>
      </c>
      <c r="G242" s="1">
        <v>200</v>
      </c>
      <c r="H242" s="4">
        <v>43012</v>
      </c>
      <c r="I242" s="5">
        <v>0.75</v>
      </c>
      <c r="J242" s="4">
        <v>43314</v>
      </c>
      <c r="K242" s="5">
        <v>0.11371527777777778</v>
      </c>
      <c r="L242" s="3">
        <v>301.39999999999998</v>
      </c>
    </row>
    <row r="243" spans="1:12">
      <c r="A243" s="7" t="s">
        <v>584</v>
      </c>
      <c r="B243" s="2">
        <v>700</v>
      </c>
      <c r="C243" s="2" t="s">
        <v>530</v>
      </c>
      <c r="D243" s="6" t="s">
        <v>438</v>
      </c>
      <c r="E243" s="6" t="s">
        <v>439</v>
      </c>
      <c r="F243" s="6">
        <v>825</v>
      </c>
      <c r="G243" s="1">
        <v>200</v>
      </c>
      <c r="H243" s="4">
        <v>42799</v>
      </c>
      <c r="I243" s="5">
        <v>0</v>
      </c>
      <c r="J243" s="4">
        <v>42922</v>
      </c>
      <c r="K243" s="5">
        <v>0.93062500000000004</v>
      </c>
      <c r="L243" s="3">
        <v>123.9</v>
      </c>
    </row>
    <row r="244" spans="1:12">
      <c r="A244" s="7" t="s">
        <v>585</v>
      </c>
      <c r="B244" s="2">
        <v>700</v>
      </c>
      <c r="C244" s="2" t="s">
        <v>530</v>
      </c>
      <c r="D244" s="6" t="s">
        <v>440</v>
      </c>
      <c r="E244" s="6" t="s">
        <v>441</v>
      </c>
      <c r="F244" s="6">
        <v>814</v>
      </c>
      <c r="G244" s="1">
        <v>200</v>
      </c>
      <c r="H244" s="4">
        <v>42924</v>
      </c>
      <c r="I244" s="5">
        <v>0.70833333333333337</v>
      </c>
      <c r="J244" s="4">
        <v>43118</v>
      </c>
      <c r="K244" s="5">
        <v>0.81777777777777771</v>
      </c>
      <c r="L244" s="3">
        <v>195.1</v>
      </c>
    </row>
    <row r="245" spans="1:12">
      <c r="A245" s="7" t="s">
        <v>854</v>
      </c>
      <c r="B245" s="2">
        <v>823</v>
      </c>
      <c r="D245" s="25" t="s">
        <v>832</v>
      </c>
      <c r="E245" s="25" t="s">
        <v>860</v>
      </c>
      <c r="F245" s="25">
        <v>900</v>
      </c>
      <c r="H245" s="26">
        <v>42642</v>
      </c>
      <c r="I245" s="5"/>
      <c r="J245" s="26">
        <v>42719</v>
      </c>
      <c r="K245" s="5"/>
      <c r="L245" s="3">
        <v>78</v>
      </c>
    </row>
    <row r="246" spans="1:12">
      <c r="A246" s="7" t="s">
        <v>586</v>
      </c>
      <c r="B246" s="2">
        <v>856</v>
      </c>
      <c r="C246" s="2" t="s">
        <v>532</v>
      </c>
      <c r="D246" s="6" t="s">
        <v>442</v>
      </c>
      <c r="E246" s="6" t="s">
        <v>443</v>
      </c>
      <c r="F246" s="6">
        <v>1200</v>
      </c>
      <c r="G246" s="1">
        <v>200</v>
      </c>
      <c r="H246" s="4">
        <v>43421</v>
      </c>
      <c r="I246" s="5">
        <v>0.99998842592592585</v>
      </c>
      <c r="J246" s="4">
        <v>43627</v>
      </c>
      <c r="K246" s="5">
        <v>0.70311342592592585</v>
      </c>
      <c r="L246" s="3">
        <v>205.7</v>
      </c>
    </row>
    <row r="247" spans="1:12">
      <c r="A247" s="7" t="s">
        <v>464</v>
      </c>
      <c r="B247" s="2">
        <v>814</v>
      </c>
      <c r="C247" s="2" t="s">
        <v>530</v>
      </c>
      <c r="D247" s="6" t="s">
        <v>465</v>
      </c>
      <c r="E247" s="6" t="s">
        <v>466</v>
      </c>
      <c r="F247" s="6">
        <v>1000</v>
      </c>
      <c r="G247" s="1">
        <v>200</v>
      </c>
      <c r="H247" s="4">
        <v>42480</v>
      </c>
      <c r="I247" s="5">
        <v>0.75</v>
      </c>
      <c r="J247" s="4">
        <v>42896</v>
      </c>
      <c r="K247" s="5">
        <v>0.96116898148148155</v>
      </c>
      <c r="L247" s="3">
        <v>416.2</v>
      </c>
    </row>
    <row r="248" spans="1:12">
      <c r="A248" s="7" t="s">
        <v>467</v>
      </c>
      <c r="B248" s="2">
        <v>876</v>
      </c>
      <c r="C248" s="2" t="s">
        <v>530</v>
      </c>
      <c r="D248" s="6" t="s">
        <v>468</v>
      </c>
      <c r="E248" s="6" t="s">
        <v>469</v>
      </c>
      <c r="F248" s="6">
        <v>1000</v>
      </c>
      <c r="G248" s="1">
        <v>200</v>
      </c>
      <c r="H248" s="4">
        <v>42916</v>
      </c>
      <c r="I248" s="5">
        <v>0.5</v>
      </c>
      <c r="J248" s="4">
        <v>43254</v>
      </c>
      <c r="K248" s="5">
        <v>0.48010416666666672</v>
      </c>
      <c r="L248" s="3">
        <v>337.9</v>
      </c>
    </row>
    <row r="249" spans="1:12">
      <c r="A249" s="7" t="s">
        <v>470</v>
      </c>
      <c r="B249" s="2">
        <v>802</v>
      </c>
      <c r="C249" s="2" t="s">
        <v>530</v>
      </c>
      <c r="D249" s="6" t="s">
        <v>471</v>
      </c>
      <c r="E249" s="6" t="s">
        <v>472</v>
      </c>
      <c r="F249" s="6">
        <v>997</v>
      </c>
      <c r="G249" s="1">
        <v>200</v>
      </c>
      <c r="H249" s="4">
        <v>43254</v>
      </c>
      <c r="I249" s="5">
        <v>0.5</v>
      </c>
      <c r="J249" s="4">
        <v>43604</v>
      </c>
      <c r="K249" s="5">
        <v>0.8125</v>
      </c>
      <c r="L249" s="3">
        <v>350.3</v>
      </c>
    </row>
    <row r="250" spans="1:12">
      <c r="A250" s="7" t="s">
        <v>782</v>
      </c>
      <c r="B250" s="2">
        <v>709</v>
      </c>
      <c r="C250" s="2" t="s">
        <v>530</v>
      </c>
      <c r="D250" s="6" t="s">
        <v>24</v>
      </c>
      <c r="E250" s="6" t="s">
        <v>25</v>
      </c>
      <c r="F250" s="6">
        <v>713</v>
      </c>
      <c r="G250" s="1">
        <v>200</v>
      </c>
      <c r="H250" s="4">
        <v>41435</v>
      </c>
      <c r="I250" s="5">
        <v>0.75</v>
      </c>
      <c r="J250" s="4">
        <v>41709</v>
      </c>
      <c r="K250" s="5">
        <v>0.81359953703703702</v>
      </c>
      <c r="L250" s="3">
        <v>274</v>
      </c>
    </row>
    <row r="251" spans="1:12">
      <c r="A251" s="7" t="s">
        <v>795</v>
      </c>
      <c r="B251" s="2">
        <v>723</v>
      </c>
      <c r="C251" s="2" t="s">
        <v>530</v>
      </c>
      <c r="D251" s="6" t="s">
        <v>26</v>
      </c>
      <c r="E251" s="6" t="s">
        <v>27</v>
      </c>
      <c r="F251" s="6">
        <v>732</v>
      </c>
      <c r="G251" s="1">
        <v>200</v>
      </c>
      <c r="H251" s="4">
        <v>41990</v>
      </c>
      <c r="I251" s="5">
        <v>0</v>
      </c>
      <c r="J251" s="4">
        <v>42279</v>
      </c>
      <c r="K251" s="5">
        <v>0.37246527777777777</v>
      </c>
      <c r="L251" s="3">
        <v>289.39999999999998</v>
      </c>
    </row>
    <row r="252" spans="1:12">
      <c r="A252" s="7" t="s">
        <v>473</v>
      </c>
      <c r="B252" s="2">
        <v>810</v>
      </c>
      <c r="C252" s="2" t="s">
        <v>530</v>
      </c>
      <c r="D252" s="6" t="s">
        <v>474</v>
      </c>
      <c r="E252" s="6" t="s">
        <v>475</v>
      </c>
      <c r="F252" s="6">
        <v>945</v>
      </c>
      <c r="G252" s="1">
        <v>200</v>
      </c>
      <c r="H252" s="4">
        <v>42488</v>
      </c>
      <c r="I252" s="5">
        <v>0.5</v>
      </c>
      <c r="J252" s="4">
        <v>42913</v>
      </c>
      <c r="K252" s="5">
        <v>0.20666666666666667</v>
      </c>
      <c r="L252" s="3">
        <v>424.7</v>
      </c>
    </row>
    <row r="253" spans="1:12">
      <c r="A253" s="7" t="s">
        <v>476</v>
      </c>
      <c r="B253" s="2">
        <v>844</v>
      </c>
      <c r="C253" s="2" t="s">
        <v>530</v>
      </c>
      <c r="D253" s="6" t="s">
        <v>477</v>
      </c>
      <c r="E253" s="6" t="s">
        <v>478</v>
      </c>
      <c r="F253" s="6">
        <v>941</v>
      </c>
      <c r="G253" s="1">
        <v>200</v>
      </c>
      <c r="H253" s="4">
        <v>42913</v>
      </c>
      <c r="I253" s="5">
        <v>0.5</v>
      </c>
      <c r="J253" s="4">
        <v>43279</v>
      </c>
      <c r="K253" s="5">
        <v>0.54781250000000004</v>
      </c>
      <c r="L253" s="3">
        <v>366</v>
      </c>
    </row>
    <row r="254" spans="1:12">
      <c r="A254" s="7" t="s">
        <v>479</v>
      </c>
      <c r="B254" s="2">
        <v>815</v>
      </c>
      <c r="C254" s="2" t="s">
        <v>537</v>
      </c>
      <c r="D254" s="6" t="s">
        <v>480</v>
      </c>
      <c r="E254" s="6" t="s">
        <v>481</v>
      </c>
      <c r="F254" s="6">
        <v>1005</v>
      </c>
      <c r="G254" s="1">
        <v>200</v>
      </c>
      <c r="H254" s="4">
        <v>42487</v>
      </c>
      <c r="I254" s="5">
        <v>0.75</v>
      </c>
      <c r="J254" s="4">
        <v>42912</v>
      </c>
      <c r="K254" s="5">
        <v>0.64033564814814814</v>
      </c>
      <c r="L254" s="3">
        <v>424.9</v>
      </c>
    </row>
    <row r="255" spans="1:12">
      <c r="A255" s="7" t="s">
        <v>482</v>
      </c>
      <c r="B255" s="2">
        <v>879</v>
      </c>
      <c r="C255" s="2" t="s">
        <v>530</v>
      </c>
      <c r="D255" s="6" t="s">
        <v>483</v>
      </c>
      <c r="E255" s="6" t="s">
        <v>484</v>
      </c>
      <c r="F255" s="6">
        <v>1005</v>
      </c>
      <c r="G255" s="1">
        <v>200</v>
      </c>
      <c r="H255" s="4">
        <v>42912</v>
      </c>
      <c r="I255" s="5">
        <v>0.75</v>
      </c>
      <c r="J255" s="4">
        <v>43274</v>
      </c>
      <c r="K255" s="5">
        <v>0.31427083333333333</v>
      </c>
      <c r="L255" s="3">
        <v>361.6</v>
      </c>
    </row>
    <row r="256" spans="1:12">
      <c r="A256" s="7" t="s">
        <v>485</v>
      </c>
      <c r="B256" s="2">
        <v>841</v>
      </c>
      <c r="C256" s="2" t="s">
        <v>530</v>
      </c>
      <c r="D256" s="6" t="s">
        <v>486</v>
      </c>
      <c r="E256" s="6" t="s">
        <v>487</v>
      </c>
      <c r="F256" s="6">
        <v>1000</v>
      </c>
      <c r="G256" s="1">
        <v>200</v>
      </c>
      <c r="H256" s="4">
        <v>43279</v>
      </c>
      <c r="I256" s="5">
        <v>0</v>
      </c>
      <c r="J256" s="4">
        <v>43632</v>
      </c>
      <c r="K256" s="5">
        <v>0.84288194444444453</v>
      </c>
      <c r="L256" s="3">
        <v>353.8</v>
      </c>
    </row>
    <row r="257" spans="1:12">
      <c r="A257" s="7" t="s">
        <v>488</v>
      </c>
      <c r="B257" s="2">
        <v>813</v>
      </c>
      <c r="C257" s="2" t="s">
        <v>530</v>
      </c>
      <c r="D257" s="6" t="s">
        <v>489</v>
      </c>
      <c r="E257" s="6" t="s">
        <v>490</v>
      </c>
      <c r="F257" s="6">
        <v>953</v>
      </c>
      <c r="G257" s="1">
        <v>200</v>
      </c>
      <c r="H257" s="4">
        <v>42489</v>
      </c>
      <c r="I257" s="5">
        <v>0</v>
      </c>
      <c r="J257" s="4">
        <v>42913</v>
      </c>
      <c r="K257" s="5">
        <v>0.77437500000000004</v>
      </c>
      <c r="L257" s="3">
        <v>424.8</v>
      </c>
    </row>
    <row r="258" spans="1:12">
      <c r="A258" s="7" t="s">
        <v>491</v>
      </c>
      <c r="B258" s="2">
        <v>878</v>
      </c>
      <c r="C258" s="2" t="s">
        <v>530</v>
      </c>
      <c r="D258" s="6" t="s">
        <v>492</v>
      </c>
      <c r="E258" s="6" t="s">
        <v>493</v>
      </c>
      <c r="F258" s="6">
        <v>930</v>
      </c>
      <c r="G258" s="1">
        <v>200</v>
      </c>
      <c r="H258" s="4">
        <v>42914</v>
      </c>
      <c r="I258" s="5">
        <v>0</v>
      </c>
      <c r="J258" s="4">
        <v>43277</v>
      </c>
      <c r="K258" s="5">
        <v>0.48010416666666672</v>
      </c>
      <c r="L258" s="3">
        <v>363.5</v>
      </c>
    </row>
    <row r="259" spans="1:12">
      <c r="A259" s="7" t="s">
        <v>494</v>
      </c>
      <c r="B259" s="2">
        <v>844</v>
      </c>
      <c r="C259" s="2" t="s">
        <v>530</v>
      </c>
      <c r="D259" s="6" t="s">
        <v>495</v>
      </c>
      <c r="E259" s="6" t="s">
        <v>496</v>
      </c>
      <c r="F259" s="6">
        <v>940</v>
      </c>
      <c r="G259" s="1">
        <v>200</v>
      </c>
      <c r="H259" s="4">
        <v>43279</v>
      </c>
      <c r="I259" s="5">
        <v>0.99998842592592585</v>
      </c>
      <c r="J259" s="4">
        <v>43634</v>
      </c>
      <c r="K259" s="5">
        <v>0.59524305555555557</v>
      </c>
      <c r="L259" s="3">
        <v>354</v>
      </c>
    </row>
    <row r="260" spans="1:12">
      <c r="A260" s="7" t="s">
        <v>644</v>
      </c>
      <c r="B260" s="2">
        <v>561</v>
      </c>
      <c r="C260" s="2" t="s">
        <v>530</v>
      </c>
      <c r="D260" s="6" t="s">
        <v>171</v>
      </c>
      <c r="E260" s="6" t="s">
        <v>172</v>
      </c>
      <c r="F260" s="6">
        <v>950</v>
      </c>
      <c r="G260" s="1">
        <v>200</v>
      </c>
      <c r="H260" s="4">
        <v>40983</v>
      </c>
      <c r="I260" s="5">
        <v>0.66666666666666663</v>
      </c>
      <c r="J260" s="4">
        <v>41010</v>
      </c>
      <c r="K260" s="5">
        <v>0.19618055555555555</v>
      </c>
      <c r="L260" s="3">
        <v>26</v>
      </c>
    </row>
    <row r="261" spans="1:12">
      <c r="A261" s="7" t="s">
        <v>857</v>
      </c>
      <c r="B261" s="2">
        <v>667</v>
      </c>
      <c r="C261" s="2" t="s">
        <v>530</v>
      </c>
      <c r="D261" s="6" t="s">
        <v>173</v>
      </c>
      <c r="E261" s="6" t="s">
        <v>174</v>
      </c>
      <c r="F261" s="6">
        <v>970</v>
      </c>
      <c r="G261" s="1">
        <v>200</v>
      </c>
      <c r="H261" s="4">
        <v>41423</v>
      </c>
      <c r="I261" s="5">
        <v>0.75</v>
      </c>
      <c r="J261" s="4">
        <v>41713</v>
      </c>
      <c r="K261" s="5">
        <v>2.4305555555555556E-2</v>
      </c>
      <c r="L261" s="3">
        <v>289.25</v>
      </c>
    </row>
    <row r="262" spans="1:12">
      <c r="A262" s="7" t="s">
        <v>774</v>
      </c>
      <c r="B262" s="2">
        <v>700</v>
      </c>
      <c r="C262" s="2" t="s">
        <v>530</v>
      </c>
      <c r="D262" s="6" t="s">
        <v>175</v>
      </c>
      <c r="E262" s="6" t="s">
        <v>176</v>
      </c>
      <c r="F262" s="6">
        <v>980</v>
      </c>
      <c r="G262" s="1">
        <v>200</v>
      </c>
      <c r="H262" s="4">
        <v>42101</v>
      </c>
      <c r="I262" s="5">
        <v>0</v>
      </c>
      <c r="J262" s="4">
        <v>42390</v>
      </c>
      <c r="K262" s="5">
        <v>0.49601851851851847</v>
      </c>
      <c r="L262" s="3">
        <v>289.5</v>
      </c>
    </row>
    <row r="263" spans="1:12">
      <c r="A263" s="7" t="s">
        <v>830</v>
      </c>
      <c r="B263" s="2">
        <v>816</v>
      </c>
      <c r="C263" s="2" t="s">
        <v>530</v>
      </c>
      <c r="D263" s="6" t="s">
        <v>177</v>
      </c>
      <c r="E263" s="6" t="s">
        <v>178</v>
      </c>
      <c r="F263" s="6">
        <v>1021</v>
      </c>
      <c r="G263" s="1">
        <v>200</v>
      </c>
      <c r="H263" s="4">
        <v>42489</v>
      </c>
      <c r="I263" s="5">
        <v>0.5</v>
      </c>
      <c r="J263" s="4">
        <v>42772</v>
      </c>
      <c r="K263" s="5">
        <v>0.3722569444444444</v>
      </c>
      <c r="L263" s="3">
        <v>282.89999999999998</v>
      </c>
    </row>
    <row r="264" spans="1:12">
      <c r="A264" s="7" t="s">
        <v>822</v>
      </c>
      <c r="B264" s="2">
        <v>807</v>
      </c>
      <c r="C264" s="2" t="s">
        <v>530</v>
      </c>
      <c r="D264" s="6" t="s">
        <v>179</v>
      </c>
      <c r="E264" s="6" t="s">
        <v>180</v>
      </c>
      <c r="F264" s="6">
        <v>1350</v>
      </c>
      <c r="G264" s="1">
        <v>200</v>
      </c>
      <c r="H264" s="4">
        <v>43252</v>
      </c>
      <c r="I264" s="5">
        <v>0.16666666666666666</v>
      </c>
      <c r="J264" s="4">
        <v>43448</v>
      </c>
      <c r="K264" s="5">
        <v>0.61291666666666667</v>
      </c>
      <c r="L264" s="3">
        <v>196.4</v>
      </c>
    </row>
    <row r="265" spans="1:12">
      <c r="A265" s="7" t="s">
        <v>829</v>
      </c>
      <c r="B265" s="2">
        <v>815</v>
      </c>
      <c r="C265" s="2" t="s">
        <v>530</v>
      </c>
      <c r="D265" s="6" t="s">
        <v>181</v>
      </c>
      <c r="E265" s="6" t="s">
        <v>182</v>
      </c>
      <c r="F265" s="6">
        <v>1175</v>
      </c>
      <c r="G265" s="1">
        <v>200</v>
      </c>
      <c r="H265" s="4">
        <v>43448</v>
      </c>
      <c r="I265" s="5">
        <v>0</v>
      </c>
      <c r="J265" s="4">
        <v>43602</v>
      </c>
      <c r="K265" s="5">
        <v>0.76215277777777779</v>
      </c>
      <c r="L265" s="3">
        <v>154.80000000000001</v>
      </c>
    </row>
    <row r="266" spans="1:12">
      <c r="A266" s="7" t="s">
        <v>497</v>
      </c>
      <c r="B266" s="2">
        <v>734</v>
      </c>
      <c r="C266" s="2" t="s">
        <v>530</v>
      </c>
      <c r="D266" s="21" t="s">
        <v>498</v>
      </c>
      <c r="E266" s="21" t="s">
        <v>499</v>
      </c>
      <c r="F266" s="6">
        <v>845</v>
      </c>
      <c r="G266" s="1">
        <v>200</v>
      </c>
      <c r="H266" s="4">
        <v>42182</v>
      </c>
      <c r="I266" s="5">
        <v>0.75</v>
      </c>
      <c r="J266" s="4">
        <v>42454</v>
      </c>
      <c r="K266" s="5">
        <v>9.8159722222222232E-2</v>
      </c>
      <c r="L266" s="3">
        <v>271.3</v>
      </c>
    </row>
    <row r="267" spans="1:12">
      <c r="A267" s="7" t="s">
        <v>500</v>
      </c>
      <c r="B267" s="2">
        <v>865</v>
      </c>
      <c r="C267" s="2" t="s">
        <v>530</v>
      </c>
      <c r="D267" s="6" t="s">
        <v>501</v>
      </c>
      <c r="E267" s="6" t="s">
        <v>502</v>
      </c>
      <c r="F267" s="6">
        <v>1090</v>
      </c>
      <c r="G267" s="1">
        <v>200</v>
      </c>
      <c r="H267" s="4">
        <v>42925</v>
      </c>
      <c r="I267" s="5">
        <v>0</v>
      </c>
      <c r="J267" s="4">
        <v>43113</v>
      </c>
      <c r="K267" s="5">
        <v>0.6424305555555555</v>
      </c>
      <c r="L267" s="3">
        <v>188.6</v>
      </c>
    </row>
    <row r="268" spans="1:12">
      <c r="A268" s="7" t="s">
        <v>503</v>
      </c>
      <c r="B268" s="2">
        <v>810</v>
      </c>
      <c r="C268" s="2" t="s">
        <v>530</v>
      </c>
      <c r="D268" s="21" t="s">
        <v>501</v>
      </c>
      <c r="E268" s="24" t="s">
        <v>502</v>
      </c>
      <c r="F268" s="6">
        <v>1090</v>
      </c>
      <c r="G268" s="1">
        <v>200</v>
      </c>
      <c r="H268" s="4">
        <v>43262</v>
      </c>
      <c r="I268" s="5">
        <v>0.74998842592592585</v>
      </c>
      <c r="J268" s="4">
        <v>43595</v>
      </c>
      <c r="K268" s="5">
        <v>0.27342592592592591</v>
      </c>
      <c r="L268" s="3">
        <v>332.5</v>
      </c>
    </row>
    <row r="269" spans="1:12">
      <c r="A269" s="7" t="s">
        <v>623</v>
      </c>
      <c r="B269" s="2">
        <v>478</v>
      </c>
      <c r="C269" s="2" t="s">
        <v>530</v>
      </c>
      <c r="D269" s="6" t="s">
        <v>185</v>
      </c>
      <c r="E269" s="6" t="s">
        <v>186</v>
      </c>
      <c r="F269" s="6">
        <v>83</v>
      </c>
      <c r="G269" s="1">
        <v>200</v>
      </c>
      <c r="H269" s="4">
        <v>40072</v>
      </c>
      <c r="I269" s="5">
        <v>0.75</v>
      </c>
      <c r="J269" s="4">
        <v>40174</v>
      </c>
      <c r="K269" s="5">
        <v>0.48958333333333331</v>
      </c>
      <c r="L269" s="3">
        <v>102</v>
      </c>
    </row>
    <row r="270" spans="1:12">
      <c r="A270" s="7" t="s">
        <v>614</v>
      </c>
      <c r="B270" s="2">
        <v>471</v>
      </c>
      <c r="C270" s="2" t="s">
        <v>538</v>
      </c>
      <c r="D270" s="6" t="s">
        <v>859</v>
      </c>
      <c r="E270" s="6" t="s">
        <v>187</v>
      </c>
      <c r="F270" s="6">
        <v>89</v>
      </c>
      <c r="G270" s="1">
        <v>200</v>
      </c>
      <c r="H270" s="4">
        <v>40231</v>
      </c>
      <c r="I270" s="5">
        <v>0</v>
      </c>
      <c r="J270" s="4">
        <v>40389</v>
      </c>
      <c r="K270" s="5">
        <v>0.66753472222222221</v>
      </c>
      <c r="L270" s="3">
        <v>158</v>
      </c>
    </row>
    <row r="271" spans="1:12">
      <c r="A271" s="7" t="s">
        <v>624</v>
      </c>
      <c r="B271" s="2">
        <v>478</v>
      </c>
      <c r="C271" s="2" t="s">
        <v>530</v>
      </c>
      <c r="D271" s="6" t="s">
        <v>183</v>
      </c>
      <c r="E271" s="6" t="s">
        <v>184</v>
      </c>
      <c r="F271" s="6">
        <v>37</v>
      </c>
      <c r="G271" s="1">
        <v>200</v>
      </c>
      <c r="H271" s="4">
        <v>39905</v>
      </c>
      <c r="I271" s="5">
        <v>0</v>
      </c>
      <c r="J271" s="4">
        <v>40061</v>
      </c>
      <c r="K271" s="5">
        <v>0.81458333333333333</v>
      </c>
      <c r="L271" s="3">
        <v>156</v>
      </c>
    </row>
    <row r="272" spans="1:12">
      <c r="A272" s="7" t="s">
        <v>751</v>
      </c>
      <c r="B272" s="2">
        <v>673</v>
      </c>
      <c r="C272" s="2" t="s">
        <v>530</v>
      </c>
      <c r="D272" s="6" t="s">
        <v>188</v>
      </c>
      <c r="E272" s="6" t="s">
        <v>189</v>
      </c>
      <c r="F272" s="6">
        <v>88</v>
      </c>
      <c r="G272" s="1">
        <v>200</v>
      </c>
      <c r="H272" s="4">
        <v>41687</v>
      </c>
      <c r="I272" s="5">
        <v>0.58333333333333337</v>
      </c>
      <c r="J272" s="4">
        <v>41874</v>
      </c>
      <c r="K272" s="5">
        <v>0.5955555555555555</v>
      </c>
      <c r="L272" s="3">
        <v>187</v>
      </c>
    </row>
    <row r="273" spans="1:12">
      <c r="A273" s="7" t="s">
        <v>757</v>
      </c>
      <c r="B273" s="2">
        <v>681</v>
      </c>
      <c r="C273" s="2" t="s">
        <v>533</v>
      </c>
      <c r="D273" s="6" t="s">
        <v>190</v>
      </c>
      <c r="E273" s="6" t="s">
        <v>191</v>
      </c>
      <c r="F273" s="6">
        <v>800</v>
      </c>
      <c r="G273" s="1">
        <v>200</v>
      </c>
      <c r="H273" s="4">
        <v>41874</v>
      </c>
      <c r="I273" s="5">
        <v>0.83333333333333337</v>
      </c>
      <c r="J273" s="4">
        <v>42153</v>
      </c>
      <c r="K273" s="5">
        <v>0.86284722222222221</v>
      </c>
      <c r="L273" s="3">
        <v>279</v>
      </c>
    </row>
    <row r="274" spans="1:12">
      <c r="A274" s="7" t="s">
        <v>858</v>
      </c>
      <c r="B274" s="2">
        <v>808</v>
      </c>
      <c r="C274" s="2" t="s">
        <v>530</v>
      </c>
      <c r="D274" s="6" t="s">
        <v>192</v>
      </c>
      <c r="E274" s="6" t="s">
        <v>193</v>
      </c>
      <c r="F274" s="6">
        <v>736</v>
      </c>
      <c r="G274" s="1">
        <v>200</v>
      </c>
      <c r="H274" s="4">
        <v>42486</v>
      </c>
      <c r="I274" s="5">
        <v>0.75</v>
      </c>
      <c r="J274" s="4">
        <v>42911</v>
      </c>
      <c r="K274" s="5">
        <v>0.80804398148148149</v>
      </c>
      <c r="L274" s="3">
        <v>425.1</v>
      </c>
    </row>
    <row r="275" spans="1:12">
      <c r="A275" s="7" t="s">
        <v>833</v>
      </c>
      <c r="B275" s="2">
        <v>823</v>
      </c>
      <c r="C275" s="2" t="s">
        <v>530</v>
      </c>
      <c r="D275" s="6" t="s">
        <v>194</v>
      </c>
      <c r="E275" s="6" t="s">
        <v>195</v>
      </c>
      <c r="F275" s="6">
        <v>740</v>
      </c>
      <c r="G275" s="1">
        <v>200</v>
      </c>
      <c r="H275" s="4">
        <v>43278</v>
      </c>
      <c r="I275" s="5">
        <v>0</v>
      </c>
      <c r="J275" s="4">
        <v>43631</v>
      </c>
      <c r="K275" s="5">
        <v>0.4609375</v>
      </c>
      <c r="L275" s="3">
        <v>353.5</v>
      </c>
    </row>
    <row r="276" spans="1:12">
      <c r="A276" s="7" t="s">
        <v>504</v>
      </c>
      <c r="B276" s="2">
        <v>740</v>
      </c>
      <c r="C276" s="2" t="s">
        <v>536</v>
      </c>
      <c r="D276" s="6" t="s">
        <v>505</v>
      </c>
      <c r="E276" s="6" t="s">
        <v>506</v>
      </c>
      <c r="F276" s="6">
        <v>977</v>
      </c>
      <c r="G276" s="1">
        <v>200</v>
      </c>
      <c r="H276" s="4">
        <v>42121</v>
      </c>
      <c r="I276" s="5">
        <v>0</v>
      </c>
      <c r="J276" s="4">
        <v>42265</v>
      </c>
      <c r="K276" s="5">
        <v>0.68670138888888888</v>
      </c>
      <c r="L276" s="3">
        <v>144.69999999999999</v>
      </c>
    </row>
    <row r="277" spans="1:12">
      <c r="A277" s="7" t="s">
        <v>507</v>
      </c>
      <c r="B277" s="2">
        <v>811</v>
      </c>
      <c r="C277" s="2" t="s">
        <v>530</v>
      </c>
      <c r="D277" s="6" t="s">
        <v>508</v>
      </c>
      <c r="E277" s="6" t="s">
        <v>509</v>
      </c>
      <c r="F277" s="6">
        <v>977</v>
      </c>
      <c r="G277" s="1">
        <v>200</v>
      </c>
      <c r="H277" s="4">
        <v>42481</v>
      </c>
      <c r="I277" s="5">
        <v>0.75</v>
      </c>
      <c r="J277" s="4">
        <v>42879</v>
      </c>
      <c r="K277" s="5">
        <v>0.62072916666666667</v>
      </c>
      <c r="L277" s="3">
        <v>397.9</v>
      </c>
    </row>
    <row r="278" spans="1:12">
      <c r="A278" s="7" t="s">
        <v>510</v>
      </c>
      <c r="B278" s="2">
        <v>811</v>
      </c>
      <c r="C278" s="2" t="s">
        <v>530</v>
      </c>
      <c r="D278" s="6" t="s">
        <v>511</v>
      </c>
      <c r="E278" s="6" t="s">
        <v>512</v>
      </c>
      <c r="F278" s="6">
        <v>977</v>
      </c>
      <c r="G278" s="1">
        <v>200</v>
      </c>
      <c r="H278" s="4">
        <v>43261</v>
      </c>
      <c r="I278" s="5">
        <v>0</v>
      </c>
      <c r="J278" s="4">
        <v>43619</v>
      </c>
      <c r="K278" s="5">
        <v>0.19704861111111113</v>
      </c>
      <c r="L278" s="3">
        <v>358.2</v>
      </c>
    </row>
    <row r="279" spans="1:12">
      <c r="A279" s="7" t="s">
        <v>826</v>
      </c>
      <c r="B279" s="2">
        <v>814</v>
      </c>
      <c r="C279" s="2" t="s">
        <v>530</v>
      </c>
      <c r="D279" s="6" t="s">
        <v>204</v>
      </c>
      <c r="E279" s="6" t="s">
        <v>205</v>
      </c>
      <c r="F279" s="6">
        <v>968</v>
      </c>
      <c r="G279" s="1">
        <v>200</v>
      </c>
      <c r="H279" s="4">
        <v>42490</v>
      </c>
      <c r="I279" s="5">
        <v>0.5</v>
      </c>
      <c r="J279" s="4">
        <v>42914</v>
      </c>
      <c r="K279" s="5">
        <v>0.77697916666666667</v>
      </c>
      <c r="L279" s="3">
        <v>424.3</v>
      </c>
    </row>
    <row r="280" spans="1:12">
      <c r="A280" s="7" t="s">
        <v>672</v>
      </c>
      <c r="B280" s="2">
        <v>877</v>
      </c>
      <c r="C280" s="2" t="s">
        <v>530</v>
      </c>
      <c r="D280" s="6" t="s">
        <v>206</v>
      </c>
      <c r="E280" s="6" t="s">
        <v>207</v>
      </c>
      <c r="F280" s="6">
        <v>950</v>
      </c>
      <c r="G280" s="1">
        <v>200</v>
      </c>
      <c r="H280" s="4">
        <v>42916</v>
      </c>
      <c r="I280" s="5">
        <v>0</v>
      </c>
      <c r="J280" s="4">
        <v>43253</v>
      </c>
      <c r="K280" s="5">
        <v>0.26048611111111114</v>
      </c>
      <c r="L280" s="3">
        <v>337.25</v>
      </c>
    </row>
    <row r="281" spans="1:12">
      <c r="A281" s="7" t="s">
        <v>823</v>
      </c>
      <c r="B281" s="2">
        <v>808</v>
      </c>
      <c r="C281" s="2" t="s">
        <v>530</v>
      </c>
      <c r="D281" s="6" t="s">
        <v>208</v>
      </c>
      <c r="E281" s="6" t="s">
        <v>209</v>
      </c>
      <c r="F281" s="6">
        <v>1050</v>
      </c>
      <c r="G281" s="1">
        <v>200</v>
      </c>
      <c r="H281" s="4">
        <v>43253</v>
      </c>
      <c r="I281" s="5">
        <v>0.5</v>
      </c>
      <c r="J281" s="4">
        <v>43603</v>
      </c>
      <c r="K281" s="5">
        <v>0.74074074074074081</v>
      </c>
      <c r="L281" s="3">
        <v>350.2</v>
      </c>
    </row>
    <row r="282" spans="1:12">
      <c r="A282" s="7" t="s">
        <v>513</v>
      </c>
      <c r="B282" s="2">
        <v>707</v>
      </c>
      <c r="C282" s="2" t="s">
        <v>534</v>
      </c>
      <c r="D282" s="6" t="s">
        <v>514</v>
      </c>
      <c r="E282" s="6" t="s">
        <v>515</v>
      </c>
      <c r="F282" s="6">
        <v>1100</v>
      </c>
      <c r="G282" s="1">
        <v>200</v>
      </c>
      <c r="H282" s="4">
        <v>42120</v>
      </c>
      <c r="I282" s="5">
        <v>0</v>
      </c>
      <c r="J282" s="4">
        <v>42409</v>
      </c>
      <c r="K282" s="5">
        <v>0.26128472222222221</v>
      </c>
      <c r="L282" s="3">
        <v>289.2</v>
      </c>
    </row>
    <row r="283" spans="1:12">
      <c r="A283" s="7" t="s">
        <v>516</v>
      </c>
      <c r="B283" s="2">
        <v>816</v>
      </c>
      <c r="C283" s="2" t="s">
        <v>530</v>
      </c>
      <c r="D283" s="6" t="s">
        <v>517</v>
      </c>
      <c r="E283" s="6" t="s">
        <v>518</v>
      </c>
      <c r="F283" s="6">
        <v>790</v>
      </c>
      <c r="G283" s="1">
        <v>200</v>
      </c>
      <c r="H283" s="4">
        <v>43261</v>
      </c>
      <c r="I283" s="5">
        <v>0.25</v>
      </c>
      <c r="J283" s="4">
        <v>43604</v>
      </c>
      <c r="K283" s="5">
        <v>0.19010416666666666</v>
      </c>
      <c r="L283" s="3">
        <v>342.9</v>
      </c>
    </row>
    <row r="284" spans="1:12">
      <c r="A284" s="7" t="s">
        <v>596</v>
      </c>
      <c r="B284" s="2">
        <v>412</v>
      </c>
      <c r="C284" s="2" t="s">
        <v>530</v>
      </c>
      <c r="D284" s="6" t="s">
        <v>450</v>
      </c>
      <c r="E284" s="6" t="s">
        <v>451</v>
      </c>
      <c r="F284" s="6">
        <v>162</v>
      </c>
      <c r="G284" s="1">
        <v>200</v>
      </c>
      <c r="H284" s="4">
        <v>39365</v>
      </c>
      <c r="I284" s="5">
        <v>0</v>
      </c>
      <c r="J284" s="4">
        <v>39463</v>
      </c>
      <c r="K284" s="5">
        <v>0.62655092592592598</v>
      </c>
      <c r="L284" s="3">
        <v>99</v>
      </c>
    </row>
    <row r="285" spans="1:12">
      <c r="A285" s="7" t="s">
        <v>645</v>
      </c>
      <c r="B285" s="2">
        <v>561</v>
      </c>
      <c r="C285" s="2" t="s">
        <v>530</v>
      </c>
      <c r="D285" s="6" t="s">
        <v>452</v>
      </c>
      <c r="E285" s="6" t="s">
        <v>453</v>
      </c>
      <c r="F285" s="6">
        <v>335</v>
      </c>
      <c r="G285" s="1">
        <v>200</v>
      </c>
      <c r="H285" s="4">
        <v>40125</v>
      </c>
      <c r="I285" s="5">
        <v>0.75</v>
      </c>
      <c r="J285" s="4">
        <v>39923</v>
      </c>
      <c r="K285" s="5">
        <v>0.91666666666666663</v>
      </c>
      <c r="L285" s="3">
        <v>163</v>
      </c>
    </row>
    <row r="286" spans="1:12">
      <c r="A286" s="7" t="s">
        <v>646</v>
      </c>
      <c r="B286" s="2">
        <v>561</v>
      </c>
      <c r="C286" s="2" t="s">
        <v>530</v>
      </c>
      <c r="D286" s="6" t="s">
        <v>454</v>
      </c>
      <c r="E286" s="6" t="s">
        <v>455</v>
      </c>
      <c r="F286" s="6">
        <v>338</v>
      </c>
      <c r="G286" s="1">
        <v>200</v>
      </c>
      <c r="H286" s="4">
        <v>40389</v>
      </c>
      <c r="I286" s="5">
        <v>0</v>
      </c>
      <c r="J286" s="4">
        <v>40578</v>
      </c>
      <c r="K286" s="5">
        <v>0.3342013888888889</v>
      </c>
      <c r="L286" s="3">
        <v>190</v>
      </c>
    </row>
    <row r="287" spans="1:12">
      <c r="A287" s="7" t="s">
        <v>519</v>
      </c>
      <c r="B287" s="2">
        <v>802</v>
      </c>
      <c r="C287" s="2" t="s">
        <v>530</v>
      </c>
      <c r="D287" s="6" t="s">
        <v>520</v>
      </c>
      <c r="E287" s="6" t="s">
        <v>521</v>
      </c>
      <c r="F287" s="6">
        <v>1000</v>
      </c>
      <c r="G287" s="1">
        <v>200</v>
      </c>
      <c r="H287" s="4">
        <v>42480</v>
      </c>
      <c r="I287" s="5">
        <v>0.25</v>
      </c>
      <c r="J287" s="4">
        <v>42915</v>
      </c>
      <c r="K287" s="5">
        <v>0.87333333333333341</v>
      </c>
      <c r="L287" s="3">
        <v>435.6</v>
      </c>
    </row>
    <row r="288" spans="1:12">
      <c r="A288" s="7" t="s">
        <v>522</v>
      </c>
      <c r="B288" s="2">
        <v>816</v>
      </c>
      <c r="C288" s="2" t="s">
        <v>530</v>
      </c>
      <c r="D288" s="6" t="s">
        <v>523</v>
      </c>
      <c r="E288" s="6" t="s">
        <v>524</v>
      </c>
      <c r="F288" s="6">
        <v>1000</v>
      </c>
      <c r="G288" s="1">
        <v>200</v>
      </c>
      <c r="H288" s="4">
        <v>42916</v>
      </c>
      <c r="I288" s="5">
        <v>0</v>
      </c>
      <c r="J288" s="4">
        <v>43253</v>
      </c>
      <c r="K288" s="5">
        <v>0.86291666666666667</v>
      </c>
      <c r="L288" s="3">
        <v>337.9</v>
      </c>
    </row>
    <row r="289" spans="1:13">
      <c r="A289" s="13" t="s">
        <v>525</v>
      </c>
      <c r="B289" s="14">
        <v>820</v>
      </c>
      <c r="C289" s="14" t="s">
        <v>530</v>
      </c>
      <c r="D289" s="15" t="s">
        <v>526</v>
      </c>
      <c r="E289" s="15" t="s">
        <v>527</v>
      </c>
      <c r="F289" s="15">
        <v>974</v>
      </c>
      <c r="G289" s="16">
        <v>200</v>
      </c>
      <c r="H289" s="17">
        <v>43253</v>
      </c>
      <c r="I289" s="18">
        <v>0.91666666666666663</v>
      </c>
      <c r="J289" s="17">
        <v>43604</v>
      </c>
      <c r="K289" s="18">
        <v>0.35590277777777773</v>
      </c>
      <c r="L289" s="19">
        <v>350.4</v>
      </c>
    </row>
    <row r="290" spans="1:13">
      <c r="A290" s="7"/>
      <c r="D290" s="25"/>
      <c r="E290" s="25"/>
      <c r="F290" s="25"/>
      <c r="H290" s="26"/>
      <c r="I290" s="5"/>
      <c r="J290" s="26"/>
      <c r="K290" s="5"/>
    </row>
    <row r="291" spans="1:13">
      <c r="A291" s="7"/>
      <c r="D291" s="25"/>
      <c r="E291" s="25"/>
      <c r="F291" s="25"/>
      <c r="H291" s="26"/>
      <c r="I291" s="5"/>
      <c r="J291" s="26"/>
      <c r="K291" s="5"/>
      <c r="L291" s="19">
        <f>SUM(L2:L289)</f>
        <v>49956.4</v>
      </c>
    </row>
    <row r="292" spans="1:13">
      <c r="A292" s="7"/>
      <c r="D292" s="25"/>
      <c r="E292" s="25"/>
      <c r="F292" s="25"/>
      <c r="H292" s="26"/>
      <c r="I292" s="5"/>
      <c r="J292" s="26"/>
      <c r="K292" s="5"/>
      <c r="L292" s="3">
        <f>Table1[[#Totals],[Rec_Dur]]/(365)</f>
        <v>0</v>
      </c>
    </row>
    <row r="293" spans="1:13">
      <c r="A293" s="7"/>
      <c r="D293" s="25"/>
      <c r="E293" s="25"/>
      <c r="F293" s="25"/>
      <c r="H293" s="26"/>
      <c r="I293" s="5"/>
      <c r="J293" s="26"/>
      <c r="K293" s="5"/>
    </row>
    <row r="294" spans="1:13">
      <c r="A294" s="7"/>
      <c r="D294" s="25"/>
      <c r="E294" s="25"/>
      <c r="F294" s="25"/>
      <c r="H294" s="26"/>
      <c r="I294" s="5"/>
      <c r="J294" s="26"/>
      <c r="K294" s="5"/>
    </row>
    <row r="295" spans="1:13">
      <c r="A295" s="7"/>
      <c r="D295" s="25"/>
      <c r="E295" s="25"/>
      <c r="F295" s="25"/>
      <c r="H295" s="26"/>
      <c r="I295" s="5"/>
      <c r="J295" s="26"/>
      <c r="K295" s="5"/>
    </row>
    <row r="296" spans="1:13">
      <c r="A296" s="13"/>
      <c r="B296" s="14"/>
      <c r="C296" s="14"/>
      <c r="D296" s="27"/>
      <c r="E296" s="27"/>
      <c r="F296" s="27"/>
      <c r="G296" s="16"/>
      <c r="H296" s="17"/>
      <c r="I296" s="18"/>
      <c r="J296" s="17"/>
      <c r="K296" s="18"/>
      <c r="M296" s="29"/>
    </row>
    <row r="301" spans="1:13">
      <c r="J301" s="1">
        <f>356-21</f>
        <v>335</v>
      </c>
    </row>
  </sheetData>
  <sortState ref="A2:K357">
    <sortCondition ref="B2:B357"/>
  </sortState>
  <conditionalFormatting sqref="D132:F134">
    <cfRule type="expression" dxfId="50" priority="22" stopIfTrue="1">
      <formula>ISEVEN(ROW())</formula>
    </cfRule>
  </conditionalFormatting>
  <conditionalFormatting sqref="D139:F139">
    <cfRule type="expression" dxfId="49" priority="20" stopIfTrue="1">
      <formula>ISEVEN(ROW())</formula>
    </cfRule>
  </conditionalFormatting>
  <conditionalFormatting sqref="D148:F148">
    <cfRule type="expression" dxfId="48" priority="19" stopIfTrue="1">
      <formula>ISEVEN(ROW())</formula>
    </cfRule>
  </conditionalFormatting>
  <conditionalFormatting sqref="D153:E154">
    <cfRule type="expression" dxfId="47" priority="18" stopIfTrue="1">
      <formula>ISEVEN(ROW())</formula>
    </cfRule>
  </conditionalFormatting>
  <conditionalFormatting sqref="D159:E159">
    <cfRule type="expression" dxfId="46" priority="17" stopIfTrue="1">
      <formula>ISEVEN(ROW())</formula>
    </cfRule>
  </conditionalFormatting>
  <conditionalFormatting sqref="D165:E165">
    <cfRule type="expression" dxfId="45" priority="16" stopIfTrue="1">
      <formula>ISEVEN(ROW())</formula>
    </cfRule>
  </conditionalFormatting>
  <conditionalFormatting sqref="D169:E169">
    <cfRule type="expression" dxfId="44" priority="15" stopIfTrue="1">
      <formula>ISEVEN(ROW())</formula>
    </cfRule>
  </conditionalFormatting>
  <conditionalFormatting sqref="D183:E183">
    <cfRule type="expression" dxfId="43" priority="14" stopIfTrue="1">
      <formula>ISEVEN(ROW())</formula>
    </cfRule>
  </conditionalFormatting>
  <conditionalFormatting sqref="D184:E184">
    <cfRule type="expression" dxfId="42" priority="13" stopIfTrue="1">
      <formula>ISEVEN(ROW())</formula>
    </cfRule>
  </conditionalFormatting>
  <conditionalFormatting sqref="D186:E186">
    <cfRule type="expression" dxfId="41" priority="12" stopIfTrue="1">
      <formula>ISEVEN(ROW())</formula>
    </cfRule>
  </conditionalFormatting>
  <conditionalFormatting sqref="D187:E187">
    <cfRule type="expression" dxfId="40" priority="11" stopIfTrue="1">
      <formula>ISEVEN(ROW())</formula>
    </cfRule>
  </conditionalFormatting>
  <conditionalFormatting sqref="D189:E189">
    <cfRule type="expression" dxfId="39" priority="10" stopIfTrue="1">
      <formula>ISEVEN(ROW())</formula>
    </cfRule>
  </conditionalFormatting>
  <conditionalFormatting sqref="D195:E195">
    <cfRule type="expression" dxfId="38" priority="9" stopIfTrue="1">
      <formula>ISEVEN(ROW())</formula>
    </cfRule>
  </conditionalFormatting>
  <conditionalFormatting sqref="D199:E199">
    <cfRule type="expression" dxfId="37" priority="8" stopIfTrue="1">
      <formula>ISEVEN(ROW())</formula>
    </cfRule>
  </conditionalFormatting>
  <conditionalFormatting sqref="D200:E200">
    <cfRule type="expression" dxfId="36" priority="7" stopIfTrue="1">
      <formula>ISEVEN(ROW())</formula>
    </cfRule>
  </conditionalFormatting>
  <conditionalFormatting sqref="D203:E203">
    <cfRule type="expression" dxfId="35" priority="6" stopIfTrue="1">
      <formula>ISEVEN(ROW())</formula>
    </cfRule>
  </conditionalFormatting>
  <conditionalFormatting sqref="D232:E232">
    <cfRule type="expression" dxfId="34" priority="5" stopIfTrue="1">
      <formula>ISEVEN(ROW())</formula>
    </cfRule>
  </conditionalFormatting>
  <conditionalFormatting sqref="D266:E266">
    <cfRule type="expression" dxfId="33" priority="4" stopIfTrue="1">
      <formula>ISEVEN(ROW())</formula>
    </cfRule>
  </conditionalFormatting>
  <conditionalFormatting sqref="D157:E157 E158">
    <cfRule type="expression" dxfId="32" priority="2" stopIfTrue="1">
      <formula>ISEVEN(ROW())</formula>
    </cfRule>
  </conditionalFormatting>
  <conditionalFormatting sqref="D194:E194">
    <cfRule type="expression" dxfId="31" priority="1" stopIfTrue="1">
      <formula>ISEVEN(ROW())</formula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HARPdataSummaryWIND_COLOR1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</dc:creator>
  <cp:lastModifiedBy>JAH</cp:lastModifiedBy>
  <cp:lastPrinted>2020-12-09T21:48:31Z</cp:lastPrinted>
  <dcterms:created xsi:type="dcterms:W3CDTF">2020-09-25T01:34:04Z</dcterms:created>
  <dcterms:modified xsi:type="dcterms:W3CDTF">2021-02-22T19:51:40Z</dcterms:modified>
</cp:coreProperties>
</file>